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20" yWindow="0" windowWidth="25120" windowHeight="15560" tabRatio="500"/>
  </bookViews>
  <sheets>
    <sheet name="runStart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9" i="1" l="1"/>
  <c r="H19" i="1"/>
  <c r="E2" i="1"/>
  <c r="G2" i="1"/>
  <c r="E14" i="1"/>
  <c r="G14" i="1"/>
  <c r="H2" i="1"/>
  <c r="E19" i="1"/>
  <c r="G19" i="1"/>
  <c r="E20" i="1"/>
  <c r="G20" i="1"/>
  <c r="E3" i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5" i="1"/>
  <c r="G15" i="1"/>
  <c r="E16" i="1"/>
  <c r="G16" i="1"/>
  <c r="E17" i="1"/>
  <c r="G17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I2" i="1"/>
  <c r="F2" i="1"/>
</calcChain>
</file>

<file path=xl/sharedStrings.xml><?xml version="1.0" encoding="utf-8"?>
<sst xmlns="http://schemas.openxmlformats.org/spreadsheetml/2006/main" count="64" uniqueCount="12">
  <si>
    <t>Site</t>
  </si>
  <si>
    <t>Num</t>
  </si>
  <si>
    <t>obsRunStart</t>
  </si>
  <si>
    <t>hydRunStart</t>
  </si>
  <si>
    <t>MAT</t>
  </si>
  <si>
    <t>NaN</t>
  </si>
  <si>
    <t>PAS</t>
  </si>
  <si>
    <t>Error</t>
  </si>
  <si>
    <t>percent error</t>
  </si>
  <si>
    <t>error squared</t>
  </si>
  <si>
    <t>mean error MAT</t>
  </si>
  <si>
    <t>sqrt(mean(square(err)))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</si>
</sst>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19" sqref="I19"/>
    </sheetView>
  </sheetViews>
  <sheetFormatPr baseColWidth="10" defaultRowHeight="15" x14ac:dyDescent="0"/>
  <cols>
    <col min="1" max="6" width="10.83203125" style="1"/>
    <col min="7" max="7" width="14" style="1" customWidth="1"/>
    <col min="8" max="8" width="17.33203125" style="1" customWidth="1"/>
    <col min="9" max="9" width="15.1640625" style="1" customWidth="1"/>
    <col min="10" max="16384" width="10.832031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 s="1" t="s">
        <v>4</v>
      </c>
      <c r="B2" s="1">
        <v>10</v>
      </c>
      <c r="C2" s="1">
        <v>2.7</v>
      </c>
      <c r="D2" s="1">
        <v>54.280799999999999</v>
      </c>
      <c r="E2" s="1">
        <f t="shared" ref="E2:E34" si="0">ABS(C2-D2)</f>
        <v>51.580799999999996</v>
      </c>
      <c r="F2" s="1">
        <f>(E2/C2)*100</f>
        <v>1910.3999999999996</v>
      </c>
      <c r="G2" s="1">
        <f>E2^2</f>
        <v>2660.5789286399995</v>
      </c>
      <c r="H2" s="1">
        <f>AVERAGE(G2,G14)</f>
        <v>6427.1541123199995</v>
      </c>
      <c r="I2" s="1">
        <f>SQRT(H2)</f>
        <v>80.16953356681077</v>
      </c>
    </row>
    <row r="3" spans="1:9">
      <c r="A3" s="1" t="s">
        <v>4</v>
      </c>
      <c r="B3" s="1">
        <v>12</v>
      </c>
      <c r="C3" s="1">
        <v>1.0333333333333301</v>
      </c>
      <c r="D3" s="1" t="s">
        <v>5</v>
      </c>
      <c r="E3" s="1" t="e">
        <f t="shared" si="0"/>
        <v>#VALUE!</v>
      </c>
      <c r="F3" s="1" t="e">
        <f t="shared" ref="F3:F34" si="1">(E3/C3)*100</f>
        <v>#VALUE!</v>
      </c>
      <c r="G3" s="1" t="e">
        <f t="shared" ref="G3:G34" si="2">E3^2</f>
        <v>#VALUE!</v>
      </c>
    </row>
    <row r="4" spans="1:9">
      <c r="A4" s="1" t="s">
        <v>4</v>
      </c>
      <c r="B4" s="1">
        <v>13</v>
      </c>
      <c r="C4" s="1">
        <v>5.06666666666667</v>
      </c>
      <c r="D4" s="1" t="s">
        <v>5</v>
      </c>
      <c r="E4" s="1" t="e">
        <f t="shared" si="0"/>
        <v>#VALUE!</v>
      </c>
      <c r="F4" s="1" t="e">
        <f t="shared" si="1"/>
        <v>#VALUE!</v>
      </c>
      <c r="G4" s="1" t="e">
        <f t="shared" si="2"/>
        <v>#VALUE!</v>
      </c>
    </row>
    <row r="5" spans="1:9">
      <c r="A5" s="1" t="s">
        <v>4</v>
      </c>
      <c r="B5" s="1">
        <v>17</v>
      </c>
      <c r="C5" s="1">
        <v>1.0333333333333301</v>
      </c>
      <c r="D5" s="1" t="s">
        <v>5</v>
      </c>
      <c r="E5" s="1" t="e">
        <f t="shared" si="0"/>
        <v>#VALUE!</v>
      </c>
      <c r="F5" s="1" t="e">
        <f t="shared" si="1"/>
        <v>#VALUE!</v>
      </c>
      <c r="G5" s="1" t="e">
        <f t="shared" si="2"/>
        <v>#VALUE!</v>
      </c>
    </row>
    <row r="6" spans="1:9">
      <c r="A6" s="1" t="s">
        <v>4</v>
      </c>
      <c r="B6" s="1">
        <v>25</v>
      </c>
      <c r="C6" s="1">
        <v>2.9</v>
      </c>
      <c r="D6" s="1" t="s">
        <v>5</v>
      </c>
      <c r="E6" s="1" t="e">
        <f t="shared" si="0"/>
        <v>#VALUE!</v>
      </c>
      <c r="F6" s="1" t="e">
        <f t="shared" si="1"/>
        <v>#VALUE!</v>
      </c>
      <c r="G6" s="1" t="e">
        <f t="shared" si="2"/>
        <v>#VALUE!</v>
      </c>
    </row>
    <row r="7" spans="1:9">
      <c r="A7" s="1" t="s">
        <v>4</v>
      </c>
      <c r="B7" s="1">
        <v>28</v>
      </c>
      <c r="C7" s="1">
        <v>2.9</v>
      </c>
      <c r="D7" s="1" t="s">
        <v>5</v>
      </c>
      <c r="E7" s="1" t="e">
        <f t="shared" si="0"/>
        <v>#VALUE!</v>
      </c>
      <c r="F7" s="1" t="e">
        <f t="shared" si="1"/>
        <v>#VALUE!</v>
      </c>
      <c r="G7" s="1" t="e">
        <f t="shared" si="2"/>
        <v>#VALUE!</v>
      </c>
    </row>
    <row r="8" spans="1:9">
      <c r="A8" s="1" t="s">
        <v>4</v>
      </c>
      <c r="B8" s="1">
        <v>30</v>
      </c>
      <c r="C8" s="1">
        <v>2.9</v>
      </c>
      <c r="D8" s="1" t="s">
        <v>5</v>
      </c>
      <c r="E8" s="1" t="e">
        <f t="shared" si="0"/>
        <v>#VALUE!</v>
      </c>
      <c r="F8" s="1" t="e">
        <f t="shared" si="1"/>
        <v>#VALUE!</v>
      </c>
      <c r="G8" s="1" t="e">
        <f t="shared" si="2"/>
        <v>#VALUE!</v>
      </c>
    </row>
    <row r="9" spans="1:9">
      <c r="A9" s="1" t="s">
        <v>4</v>
      </c>
      <c r="B9" s="1">
        <v>31</v>
      </c>
      <c r="C9" s="1">
        <v>2.9</v>
      </c>
      <c r="D9" s="1" t="s">
        <v>5</v>
      </c>
      <c r="E9" s="1" t="e">
        <f t="shared" si="0"/>
        <v>#VALUE!</v>
      </c>
      <c r="F9" s="1" t="e">
        <f t="shared" si="1"/>
        <v>#VALUE!</v>
      </c>
      <c r="G9" s="1" t="e">
        <f t="shared" si="2"/>
        <v>#VALUE!</v>
      </c>
    </row>
    <row r="10" spans="1:9">
      <c r="A10" s="1" t="s">
        <v>4</v>
      </c>
      <c r="B10" s="1">
        <v>40</v>
      </c>
      <c r="C10" s="1">
        <v>1.93333333333333</v>
      </c>
      <c r="D10" s="1" t="s">
        <v>5</v>
      </c>
      <c r="E10" s="1" t="e">
        <f t="shared" si="0"/>
        <v>#VALUE!</v>
      </c>
      <c r="F10" s="1" t="e">
        <f t="shared" si="1"/>
        <v>#VALUE!</v>
      </c>
      <c r="G10" s="1" t="e">
        <f t="shared" si="2"/>
        <v>#VALUE!</v>
      </c>
    </row>
    <row r="11" spans="1:9">
      <c r="A11" s="1" t="s">
        <v>4</v>
      </c>
      <c r="B11" s="1">
        <v>41</v>
      </c>
      <c r="C11" s="1">
        <v>23.4</v>
      </c>
      <c r="D11" s="1" t="s">
        <v>5</v>
      </c>
      <c r="E11" s="1" t="e">
        <f t="shared" si="0"/>
        <v>#VALUE!</v>
      </c>
      <c r="F11" s="1" t="e">
        <f t="shared" si="1"/>
        <v>#VALUE!</v>
      </c>
      <c r="G11" s="1" t="e">
        <f t="shared" si="2"/>
        <v>#VALUE!</v>
      </c>
    </row>
    <row r="12" spans="1:9">
      <c r="A12" s="1" t="s">
        <v>4</v>
      </c>
      <c r="B12" s="1">
        <v>42</v>
      </c>
      <c r="C12" s="1">
        <v>3.4</v>
      </c>
      <c r="D12" s="1" t="s">
        <v>5</v>
      </c>
      <c r="E12" s="1" t="e">
        <f t="shared" si="0"/>
        <v>#VALUE!</v>
      </c>
      <c r="F12" s="1" t="e">
        <f t="shared" si="1"/>
        <v>#VALUE!</v>
      </c>
      <c r="G12" s="1" t="e">
        <f t="shared" si="2"/>
        <v>#VALUE!</v>
      </c>
    </row>
    <row r="13" spans="1:9">
      <c r="A13" s="1" t="s">
        <v>4</v>
      </c>
      <c r="B13" s="1">
        <v>5</v>
      </c>
      <c r="C13" s="1">
        <v>14.966666666666701</v>
      </c>
      <c r="D13" s="1" t="s">
        <v>5</v>
      </c>
      <c r="E13" s="1" t="e">
        <f t="shared" si="0"/>
        <v>#VALUE!</v>
      </c>
      <c r="F13" s="1" t="e">
        <f t="shared" si="1"/>
        <v>#VALUE!</v>
      </c>
      <c r="G13" s="1" t="e">
        <f t="shared" si="2"/>
        <v>#VALUE!</v>
      </c>
    </row>
    <row r="14" spans="1:9">
      <c r="A14" s="1" t="s">
        <v>4</v>
      </c>
      <c r="B14" s="1">
        <v>51</v>
      </c>
      <c r="C14" s="1">
        <v>3.5</v>
      </c>
      <c r="D14" s="1">
        <v>104.464</v>
      </c>
      <c r="E14" s="1">
        <f t="shared" si="0"/>
        <v>100.964</v>
      </c>
      <c r="F14" s="1">
        <f t="shared" si="1"/>
        <v>2884.6857142857143</v>
      </c>
      <c r="G14" s="1">
        <f t="shared" si="2"/>
        <v>10193.729296</v>
      </c>
    </row>
    <row r="15" spans="1:9">
      <c r="A15" s="1" t="s">
        <v>4</v>
      </c>
      <c r="B15" s="1">
        <v>54</v>
      </c>
      <c r="C15" s="1">
        <v>119.533333333333</v>
      </c>
      <c r="D15" s="1" t="s">
        <v>5</v>
      </c>
      <c r="E15" s="1" t="e">
        <f t="shared" si="0"/>
        <v>#VALUE!</v>
      </c>
      <c r="F15" s="1" t="e">
        <f t="shared" si="1"/>
        <v>#VALUE!</v>
      </c>
      <c r="G15" s="1" t="e">
        <f t="shared" si="2"/>
        <v>#VALUE!</v>
      </c>
    </row>
    <row r="16" spans="1:9">
      <c r="A16" s="1" t="s">
        <v>4</v>
      </c>
      <c r="B16" s="1">
        <v>60</v>
      </c>
      <c r="C16" s="1">
        <v>8.2666666666666693</v>
      </c>
      <c r="D16" s="1" t="s">
        <v>5</v>
      </c>
      <c r="E16" s="1" t="e">
        <f t="shared" si="0"/>
        <v>#VALUE!</v>
      </c>
      <c r="F16" s="1" t="e">
        <f t="shared" si="1"/>
        <v>#VALUE!</v>
      </c>
      <c r="G16" s="1" t="e">
        <f t="shared" si="2"/>
        <v>#VALUE!</v>
      </c>
    </row>
    <row r="17" spans="1:9">
      <c r="A17" s="1" t="s">
        <v>4</v>
      </c>
      <c r="B17" s="1">
        <v>66</v>
      </c>
      <c r="C17" s="1">
        <v>11.3333333333333</v>
      </c>
      <c r="D17" s="1" t="s">
        <v>5</v>
      </c>
      <c r="E17" s="1" t="e">
        <f t="shared" si="0"/>
        <v>#VALUE!</v>
      </c>
      <c r="F17" s="1" t="e">
        <f t="shared" si="1"/>
        <v>#VALUE!</v>
      </c>
      <c r="G17" s="1" t="e">
        <f t="shared" si="2"/>
        <v>#VALUE!</v>
      </c>
    </row>
    <row r="19" spans="1:9">
      <c r="A19" s="1" t="s">
        <v>6</v>
      </c>
      <c r="B19" s="1">
        <v>11</v>
      </c>
      <c r="C19" s="1">
        <v>7.1333333333333302</v>
      </c>
      <c r="D19" s="1">
        <v>61.951799999999999</v>
      </c>
      <c r="E19" s="1">
        <f t="shared" si="0"/>
        <v>54.818466666666666</v>
      </c>
      <c r="F19" s="1">
        <f t="shared" si="1"/>
        <v>768.48317757009386</v>
      </c>
      <c r="G19" s="1">
        <f t="shared" si="2"/>
        <v>3005.0642876844445</v>
      </c>
      <c r="H19" s="1">
        <f>AVERAGE(G19,G23:G26,G28,G31:G32,G34)</f>
        <v>5452.2029643319756</v>
      </c>
      <c r="I19" s="1">
        <f>SQRT(H19)</f>
        <v>73.839034150860726</v>
      </c>
    </row>
    <row r="20" spans="1:9">
      <c r="A20" s="1" t="s">
        <v>6</v>
      </c>
      <c r="B20" s="1">
        <v>15</v>
      </c>
      <c r="C20" s="1" t="s">
        <v>5</v>
      </c>
      <c r="D20" s="1">
        <v>53.254600000000003</v>
      </c>
      <c r="E20" s="1" t="e">
        <f t="shared" si="0"/>
        <v>#VALUE!</v>
      </c>
      <c r="F20" s="1" t="e">
        <f t="shared" si="1"/>
        <v>#VALUE!</v>
      </c>
      <c r="G20" s="1" t="e">
        <f t="shared" si="2"/>
        <v>#VALUE!</v>
      </c>
    </row>
    <row r="21" spans="1:9">
      <c r="A21" s="1" t="s">
        <v>6</v>
      </c>
      <c r="B21" s="1">
        <v>19</v>
      </c>
      <c r="C21" s="1">
        <v>40.3333333333333</v>
      </c>
      <c r="D21" s="1" t="s">
        <v>5</v>
      </c>
      <c r="E21" s="1" t="e">
        <f t="shared" si="0"/>
        <v>#VALUE!</v>
      </c>
      <c r="F21" s="1" t="e">
        <f t="shared" si="1"/>
        <v>#VALUE!</v>
      </c>
      <c r="G21" s="1" t="e">
        <f t="shared" si="2"/>
        <v>#VALUE!</v>
      </c>
    </row>
    <row r="22" spans="1:9">
      <c r="A22" s="1" t="s">
        <v>6</v>
      </c>
      <c r="B22" s="1">
        <v>20</v>
      </c>
      <c r="C22" s="1" t="s">
        <v>5</v>
      </c>
      <c r="D22" s="1" t="s">
        <v>5</v>
      </c>
      <c r="E22" s="1" t="e">
        <f t="shared" si="0"/>
        <v>#VALUE!</v>
      </c>
      <c r="F22" s="1" t="e">
        <f t="shared" si="1"/>
        <v>#VALUE!</v>
      </c>
      <c r="G22" s="1" t="e">
        <f t="shared" si="2"/>
        <v>#VALUE!</v>
      </c>
    </row>
    <row r="23" spans="1:9">
      <c r="A23" s="1" t="s">
        <v>6</v>
      </c>
      <c r="B23" s="1">
        <v>25</v>
      </c>
      <c r="C23" s="1">
        <v>6.6666666666666693E-2</v>
      </c>
      <c r="D23" s="1">
        <v>110.03879999999999</v>
      </c>
      <c r="E23" s="1">
        <f t="shared" si="0"/>
        <v>109.97213333333333</v>
      </c>
      <c r="F23" s="1">
        <f t="shared" si="1"/>
        <v>164958.19999999995</v>
      </c>
      <c r="G23" s="1">
        <f t="shared" si="2"/>
        <v>12093.870109884445</v>
      </c>
    </row>
    <row r="24" spans="1:9">
      <c r="A24" s="1" t="s">
        <v>6</v>
      </c>
      <c r="B24" s="1">
        <v>34</v>
      </c>
      <c r="C24" s="1">
        <v>4.2</v>
      </c>
      <c r="D24" s="1">
        <v>5.9661999999999997</v>
      </c>
      <c r="E24" s="1">
        <f t="shared" si="0"/>
        <v>1.7661999999999995</v>
      </c>
      <c r="F24" s="1">
        <f t="shared" si="1"/>
        <v>42.052380952380943</v>
      </c>
      <c r="G24" s="1">
        <f t="shared" si="2"/>
        <v>3.1194624399999986</v>
      </c>
    </row>
    <row r="25" spans="1:9">
      <c r="A25" s="1" t="s">
        <v>6</v>
      </c>
      <c r="B25" s="1">
        <v>37</v>
      </c>
      <c r="C25" s="1">
        <v>5.06666666666667</v>
      </c>
      <c r="D25" s="1">
        <v>18.843699999999998</v>
      </c>
      <c r="E25" s="1">
        <f t="shared" si="0"/>
        <v>13.777033333333328</v>
      </c>
      <c r="F25" s="1">
        <f t="shared" si="1"/>
        <v>271.91513157894713</v>
      </c>
      <c r="G25" s="1">
        <f t="shared" si="2"/>
        <v>189.80664746777765</v>
      </c>
    </row>
    <row r="26" spans="1:9">
      <c r="A26" s="1" t="s">
        <v>6</v>
      </c>
      <c r="B26" s="1">
        <v>40</v>
      </c>
      <c r="C26" s="1">
        <v>10.533333333333299</v>
      </c>
      <c r="D26" s="1">
        <v>10.004200000000001</v>
      </c>
      <c r="E26" s="1">
        <f t="shared" si="0"/>
        <v>0.52913333333329859</v>
      </c>
      <c r="F26" s="1">
        <f t="shared" si="1"/>
        <v>5.0234177215186735</v>
      </c>
      <c r="G26" s="1">
        <f t="shared" si="2"/>
        <v>0.2799820844444077</v>
      </c>
    </row>
    <row r="27" spans="1:9">
      <c r="A27" s="1" t="s">
        <v>6</v>
      </c>
      <c r="B27" s="1">
        <v>43</v>
      </c>
      <c r="C27" s="1" t="s">
        <v>5</v>
      </c>
      <c r="D27" s="1" t="s">
        <v>5</v>
      </c>
      <c r="E27" s="1" t="e">
        <f t="shared" si="0"/>
        <v>#VALUE!</v>
      </c>
      <c r="F27" s="1" t="e">
        <f t="shared" si="1"/>
        <v>#VALUE!</v>
      </c>
      <c r="G27" s="1" t="e">
        <f t="shared" si="2"/>
        <v>#VALUE!</v>
      </c>
    </row>
    <row r="28" spans="1:9">
      <c r="A28" s="1" t="s">
        <v>6</v>
      </c>
      <c r="B28" s="1">
        <v>56</v>
      </c>
      <c r="C28" s="1">
        <v>2.43333333333333</v>
      </c>
      <c r="D28" s="1">
        <v>7.7975000000000003</v>
      </c>
      <c r="E28" s="1">
        <f t="shared" si="0"/>
        <v>5.3641666666666703</v>
      </c>
      <c r="F28" s="1">
        <f t="shared" si="1"/>
        <v>220.44520547945251</v>
      </c>
      <c r="G28" s="1">
        <f t="shared" si="2"/>
        <v>28.774284027777817</v>
      </c>
    </row>
    <row r="29" spans="1:9">
      <c r="A29" s="1" t="s">
        <v>6</v>
      </c>
      <c r="B29" s="1">
        <v>57</v>
      </c>
      <c r="C29" s="1">
        <v>4.7</v>
      </c>
      <c r="D29" s="1" t="s">
        <v>5</v>
      </c>
      <c r="E29" s="1" t="e">
        <f t="shared" si="0"/>
        <v>#VALUE!</v>
      </c>
      <c r="F29" s="1" t="e">
        <f t="shared" si="1"/>
        <v>#VALUE!</v>
      </c>
      <c r="G29" s="1" t="e">
        <f t="shared" si="2"/>
        <v>#VALUE!</v>
      </c>
    </row>
    <row r="30" spans="1:9">
      <c r="A30" s="1" t="s">
        <v>6</v>
      </c>
      <c r="B30" s="1">
        <v>58</v>
      </c>
      <c r="C30" s="1">
        <v>4.7</v>
      </c>
      <c r="D30" s="1" t="s">
        <v>5</v>
      </c>
      <c r="E30" s="1" t="e">
        <f t="shared" si="0"/>
        <v>#VALUE!</v>
      </c>
      <c r="F30" s="1" t="e">
        <f t="shared" si="1"/>
        <v>#VALUE!</v>
      </c>
      <c r="G30" s="1" t="e">
        <f t="shared" si="2"/>
        <v>#VALUE!</v>
      </c>
    </row>
    <row r="31" spans="1:9">
      <c r="A31" s="1" t="s">
        <v>6</v>
      </c>
      <c r="B31" s="1">
        <v>72</v>
      </c>
      <c r="C31" s="1">
        <v>11.866666666666699</v>
      </c>
      <c r="D31" s="1">
        <v>108.43510000000001</v>
      </c>
      <c r="E31" s="1">
        <f t="shared" si="0"/>
        <v>96.568433333333303</v>
      </c>
      <c r="F31" s="1">
        <f t="shared" si="1"/>
        <v>813.77893258426718</v>
      </c>
      <c r="G31" s="1">
        <f t="shared" si="2"/>
        <v>9325.4623164544391</v>
      </c>
    </row>
    <row r="32" spans="1:9">
      <c r="A32" s="1" t="s">
        <v>6</v>
      </c>
      <c r="B32" s="1">
        <v>80</v>
      </c>
      <c r="C32" s="1">
        <v>0.2</v>
      </c>
      <c r="D32" s="1">
        <v>156.26650000000001</v>
      </c>
      <c r="E32" s="1">
        <f t="shared" si="0"/>
        <v>156.06650000000002</v>
      </c>
      <c r="F32" s="1">
        <f t="shared" si="1"/>
        <v>78033.250000000015</v>
      </c>
      <c r="G32" s="1">
        <f t="shared" si="2"/>
        <v>24356.752422250007</v>
      </c>
    </row>
    <row r="33" spans="1:7">
      <c r="A33" s="1" t="s">
        <v>6</v>
      </c>
      <c r="B33" s="1">
        <v>89</v>
      </c>
      <c r="C33" s="1" t="s">
        <v>5</v>
      </c>
      <c r="D33" s="1">
        <v>32.856999999999999</v>
      </c>
      <c r="E33" s="1" t="e">
        <f t="shared" si="0"/>
        <v>#VALUE!</v>
      </c>
      <c r="F33" s="1" t="e">
        <f t="shared" si="1"/>
        <v>#VALUE!</v>
      </c>
      <c r="G33" s="1" t="e">
        <f t="shared" si="2"/>
        <v>#VALUE!</v>
      </c>
    </row>
    <row r="34" spans="1:7">
      <c r="A34" s="1" t="s">
        <v>6</v>
      </c>
      <c r="B34" s="1">
        <v>98</v>
      </c>
      <c r="C34" s="1">
        <v>1.56666666666667</v>
      </c>
      <c r="D34" s="1">
        <v>9.7334999999999994</v>
      </c>
      <c r="E34" s="1">
        <f t="shared" si="0"/>
        <v>8.1668333333333294</v>
      </c>
      <c r="F34" s="1">
        <f t="shared" si="1"/>
        <v>521.28723404255175</v>
      </c>
      <c r="G34" s="1">
        <f t="shared" si="2"/>
        <v>66.697166694444377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runStart.csv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Bush</dc:creator>
  <cp:lastModifiedBy>Sidney Bush</cp:lastModifiedBy>
  <dcterms:created xsi:type="dcterms:W3CDTF">2017-10-30T05:38:56Z</dcterms:created>
  <dcterms:modified xsi:type="dcterms:W3CDTF">2017-11-17T22:32:34Z</dcterms:modified>
</cp:coreProperties>
</file>