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date1904="1" showInkAnnotation="0" autoCompressPictures="0"/>
  <bookViews>
    <workbookView xWindow="0" yWindow="0" windowWidth="28760" windowHeight="15520" tabRatio="500"/>
  </bookViews>
  <sheets>
    <sheet name="runRateMax.csv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1" i="1" l="1"/>
  <c r="F21" i="1"/>
  <c r="G21" i="1"/>
  <c r="E19" i="1"/>
  <c r="G19" i="1"/>
  <c r="E20" i="1"/>
  <c r="G20" i="1"/>
  <c r="E22" i="1"/>
  <c r="G22" i="1"/>
  <c r="E23" i="1"/>
  <c r="G23" i="1"/>
  <c r="E24" i="1"/>
  <c r="G24" i="1"/>
  <c r="E25" i="1"/>
  <c r="G25" i="1"/>
  <c r="E26" i="1"/>
  <c r="G26" i="1"/>
  <c r="E27" i="1"/>
  <c r="G27" i="1"/>
  <c r="E28" i="1"/>
  <c r="G28" i="1"/>
  <c r="E29" i="1"/>
  <c r="G29" i="1"/>
  <c r="E30" i="1"/>
  <c r="G30" i="1"/>
  <c r="E31" i="1"/>
  <c r="G31" i="1"/>
  <c r="E32" i="1"/>
  <c r="G32" i="1"/>
  <c r="E33" i="1"/>
  <c r="G33" i="1"/>
  <c r="E34" i="1"/>
  <c r="G34" i="1"/>
  <c r="H19" i="1"/>
  <c r="I19" i="1"/>
  <c r="E2" i="1"/>
  <c r="G2" i="1"/>
  <c r="E3" i="1"/>
  <c r="G3" i="1"/>
  <c r="E4" i="1"/>
  <c r="G4" i="1"/>
  <c r="E5" i="1"/>
  <c r="G5" i="1"/>
  <c r="E6" i="1"/>
  <c r="G6" i="1"/>
  <c r="E7" i="1"/>
  <c r="G7" i="1"/>
  <c r="E8" i="1"/>
  <c r="G8" i="1"/>
  <c r="E9" i="1"/>
  <c r="G9" i="1"/>
  <c r="E10" i="1"/>
  <c r="G10" i="1"/>
  <c r="E11" i="1"/>
  <c r="G11" i="1"/>
  <c r="E12" i="1"/>
  <c r="G12" i="1"/>
  <c r="E13" i="1"/>
  <c r="G13" i="1"/>
  <c r="E14" i="1"/>
  <c r="G14" i="1"/>
  <c r="E15" i="1"/>
  <c r="G15" i="1"/>
  <c r="E16" i="1"/>
  <c r="G16" i="1"/>
  <c r="E17" i="1"/>
  <c r="G17" i="1"/>
  <c r="H2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9" i="1"/>
  <c r="F20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2" i="1"/>
</calcChain>
</file>

<file path=xl/sharedStrings.xml><?xml version="1.0" encoding="utf-8"?>
<sst xmlns="http://schemas.openxmlformats.org/spreadsheetml/2006/main" count="43" uniqueCount="13">
  <si>
    <t>Site</t>
  </si>
  <si>
    <t>Num</t>
  </si>
  <si>
    <t>obsRunRateMax</t>
  </si>
  <si>
    <t>hydRunRateMax</t>
  </si>
  <si>
    <t>MAT</t>
  </si>
  <si>
    <t>PAS</t>
  </si>
  <si>
    <t>Error</t>
  </si>
  <si>
    <t>percent error</t>
  </si>
  <si>
    <t>error squared</t>
  </si>
  <si>
    <t>RMSE PAS</t>
  </si>
  <si>
    <t>mean error MAT</t>
  </si>
  <si>
    <t>sqrt(mean(square(err))) MAT</t>
  </si>
  <si>
    <t>Mean Error 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</si>
</sst>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Fill="1"/>
    <xf numFmtId="0" fontId="0" fillId="0" borderId="1" xfId="0" applyFill="1" applyBorder="1"/>
    <xf numFmtId="0" fontId="0" fillId="0" borderId="0" xfId="0" applyFill="1" applyBorder="1"/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Views>
    <sheetView tabSelected="1" workbookViewId="0">
      <selection activeCell="I2" sqref="I2"/>
    </sheetView>
  </sheetViews>
  <sheetFormatPr baseColWidth="10" defaultRowHeight="15" x14ac:dyDescent="0"/>
  <cols>
    <col min="1" max="3" width="10.83203125" style="1"/>
    <col min="4" max="4" width="14.6640625" style="1" customWidth="1"/>
    <col min="5" max="7" width="10.83203125" style="1"/>
    <col min="8" max="8" width="17" style="1" customWidth="1"/>
    <col min="9" max="9" width="24.5" style="1" customWidth="1"/>
    <col min="10" max="16384" width="10.83203125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11</v>
      </c>
    </row>
    <row r="2" spans="1:9">
      <c r="A2" s="1" t="s">
        <v>4</v>
      </c>
      <c r="B2" s="1">
        <v>10</v>
      </c>
      <c r="C2" s="1">
        <v>22.227152960278701</v>
      </c>
      <c r="D2" s="1">
        <v>2.56736369747899</v>
      </c>
      <c r="E2" s="1">
        <f t="shared" ref="E2:E34" si="0">ABS(C2-D2)</f>
        <v>19.659789262799713</v>
      </c>
      <c r="F2" s="1">
        <f>(E2/C2)*100</f>
        <v>88.449426239757173</v>
      </c>
      <c r="G2" s="1">
        <f>E2^2</f>
        <v>386.50731385769484</v>
      </c>
      <c r="H2" s="1">
        <f>AVERAGE(G2:G17)</f>
        <v>109.53075184019622</v>
      </c>
      <c r="I2" s="1">
        <f>SQRT(H2)</f>
        <v>10.465694044839847</v>
      </c>
    </row>
    <row r="3" spans="1:9">
      <c r="A3" s="1" t="s">
        <v>4</v>
      </c>
      <c r="B3" s="1">
        <v>12</v>
      </c>
      <c r="C3" s="1">
        <v>5.7481652472392</v>
      </c>
      <c r="D3" s="1">
        <v>5.9094550000000001E-3</v>
      </c>
      <c r="E3" s="1">
        <f t="shared" si="0"/>
        <v>5.7422557922391997</v>
      </c>
      <c r="F3" s="1">
        <f t="shared" ref="F3:F34" si="1">(E3/C3)*100</f>
        <v>99.897194065483092</v>
      </c>
      <c r="G3" s="1">
        <f t="shared" ref="G3:G34" si="2">E3^2</f>
        <v>32.973501583504635</v>
      </c>
    </row>
    <row r="4" spans="1:9">
      <c r="A4" s="1" t="s">
        <v>4</v>
      </c>
      <c r="B4" s="1">
        <v>13</v>
      </c>
      <c r="C4" s="1">
        <v>9.0186386250942903</v>
      </c>
      <c r="D4" s="1">
        <v>6.1335787500000002E-3</v>
      </c>
      <c r="E4" s="1">
        <f t="shared" si="0"/>
        <v>9.0125050463442911</v>
      </c>
      <c r="F4" s="1">
        <f t="shared" si="1"/>
        <v>99.931989970937167</v>
      </c>
      <c r="G4" s="1">
        <f t="shared" si="2"/>
        <v>81.225247210381312</v>
      </c>
    </row>
    <row r="5" spans="1:9">
      <c r="A5" s="1" t="s">
        <v>4</v>
      </c>
      <c r="B5" s="1">
        <v>17</v>
      </c>
      <c r="C5" s="1">
        <v>11.271763890234601</v>
      </c>
      <c r="D5" s="1">
        <v>5.4566721428571403E-3</v>
      </c>
      <c r="E5" s="1">
        <f t="shared" si="0"/>
        <v>11.266307218091743</v>
      </c>
      <c r="F5" s="1">
        <f t="shared" si="1"/>
        <v>99.9515899002499</v>
      </c>
      <c r="G5" s="1">
        <f t="shared" si="2"/>
        <v>126.92967833242611</v>
      </c>
    </row>
    <row r="6" spans="1:9">
      <c r="A6" s="1" t="s">
        <v>4</v>
      </c>
      <c r="B6" s="1">
        <v>25</v>
      </c>
      <c r="C6" s="1">
        <v>9.0186386250942707</v>
      </c>
      <c r="D6" s="1">
        <v>8.1947640000000002E-3</v>
      </c>
      <c r="E6" s="1">
        <f t="shared" si="0"/>
        <v>9.0104438610942701</v>
      </c>
      <c r="F6" s="1">
        <f t="shared" si="1"/>
        <v>99.909135243791695</v>
      </c>
      <c r="G6" s="1">
        <f t="shared" si="2"/>
        <v>81.188098573931413</v>
      </c>
    </row>
    <row r="7" spans="1:9">
      <c r="A7" s="1" t="s">
        <v>4</v>
      </c>
      <c r="B7" s="1">
        <v>28</v>
      </c>
      <c r="C7" s="1">
        <v>8.9714039126356209</v>
      </c>
      <c r="D7" s="1">
        <v>6.0668179999999999E-3</v>
      </c>
      <c r="E7" s="1">
        <f t="shared" si="0"/>
        <v>8.9653370946356201</v>
      </c>
      <c r="F7" s="1">
        <f t="shared" si="1"/>
        <v>99.932376046613442</v>
      </c>
      <c r="G7" s="1">
        <f t="shared" si="2"/>
        <v>80.377269220449463</v>
      </c>
    </row>
    <row r="8" spans="1:9">
      <c r="A8" s="1" t="s">
        <v>4</v>
      </c>
      <c r="B8" s="1">
        <v>30</v>
      </c>
      <c r="C8" s="1">
        <v>10.121583901435001</v>
      </c>
      <c r="D8" s="1">
        <v>6.5305011428571404E-3</v>
      </c>
      <c r="E8" s="1">
        <f t="shared" si="0"/>
        <v>10.115053400292144</v>
      </c>
      <c r="F8" s="1">
        <f t="shared" si="1"/>
        <v>99.935479454535454</v>
      </c>
      <c r="G8" s="1">
        <f t="shared" si="2"/>
        <v>102.31430529076167</v>
      </c>
    </row>
    <row r="9" spans="1:9">
      <c r="A9" s="1" t="s">
        <v>4</v>
      </c>
      <c r="B9" s="1">
        <v>31</v>
      </c>
      <c r="C9" s="1">
        <v>12.421943879034</v>
      </c>
      <c r="D9" s="1">
        <v>9.2499756521739092E-3</v>
      </c>
      <c r="E9" s="1">
        <f t="shared" si="0"/>
        <v>12.412693903381825</v>
      </c>
      <c r="F9" s="1">
        <f t="shared" si="1"/>
        <v>99.925535200108357</v>
      </c>
      <c r="G9" s="1">
        <f t="shared" si="2"/>
        <v>154.07496993905232</v>
      </c>
    </row>
    <row r="10" spans="1:9">
      <c r="A10" s="1" t="s">
        <v>4</v>
      </c>
      <c r="B10" s="1">
        <v>40</v>
      </c>
      <c r="C10" s="1">
        <v>11.4963304944784</v>
      </c>
      <c r="D10" s="1">
        <v>2.6147624999999998E-3</v>
      </c>
      <c r="E10" s="1">
        <f t="shared" si="0"/>
        <v>11.4937157319784</v>
      </c>
      <c r="F10" s="1">
        <f t="shared" si="1"/>
        <v>99.977255677354989</v>
      </c>
      <c r="G10" s="1">
        <f t="shared" si="2"/>
        <v>132.10550132752775</v>
      </c>
    </row>
    <row r="11" spans="1:9">
      <c r="A11" s="1" t="s">
        <v>4</v>
      </c>
      <c r="B11" s="1">
        <v>41</v>
      </c>
      <c r="C11" s="1">
        <v>3.22050396863844</v>
      </c>
      <c r="D11" s="1">
        <v>5.4660709090909101E-3</v>
      </c>
      <c r="E11" s="1">
        <f t="shared" si="0"/>
        <v>3.2150378977293492</v>
      </c>
      <c r="F11" s="1">
        <f t="shared" si="1"/>
        <v>99.830272809401265</v>
      </c>
      <c r="G11" s="1">
        <f t="shared" si="2"/>
        <v>10.336468683835953</v>
      </c>
    </row>
    <row r="12" spans="1:9">
      <c r="A12" s="1" t="s">
        <v>4</v>
      </c>
      <c r="B12" s="1">
        <v>42</v>
      </c>
      <c r="C12" s="1">
        <v>4.60071995519775</v>
      </c>
      <c r="D12" s="1">
        <v>5.6864999999999997E-3</v>
      </c>
      <c r="E12" s="1">
        <f t="shared" si="0"/>
        <v>4.5950334551977496</v>
      </c>
      <c r="F12" s="1">
        <f t="shared" si="1"/>
        <v>99.876399779700222</v>
      </c>
      <c r="G12" s="1">
        <f t="shared" si="2"/>
        <v>21.11433245438657</v>
      </c>
    </row>
    <row r="13" spans="1:9">
      <c r="A13" s="1" t="s">
        <v>4</v>
      </c>
      <c r="B13" s="1">
        <v>5</v>
      </c>
      <c r="C13" s="1">
        <v>3.8322677517722399</v>
      </c>
      <c r="D13" s="1">
        <v>7.9494931034482796E-3</v>
      </c>
      <c r="E13" s="1">
        <f t="shared" si="0"/>
        <v>3.8243182586687916</v>
      </c>
      <c r="F13" s="1">
        <f t="shared" si="1"/>
        <v>99.792564256509166</v>
      </c>
      <c r="G13" s="1">
        <f t="shared" si="2"/>
        <v>14.625410143587498</v>
      </c>
    </row>
    <row r="14" spans="1:9">
      <c r="A14" s="1" t="s">
        <v>4</v>
      </c>
      <c r="B14" s="1">
        <v>51</v>
      </c>
      <c r="C14" s="1">
        <v>27.144247735666799</v>
      </c>
      <c r="D14" s="1">
        <v>8.7107818089795899</v>
      </c>
      <c r="E14" s="1">
        <f t="shared" si="0"/>
        <v>18.433465926687209</v>
      </c>
      <c r="F14" s="1">
        <f t="shared" si="1"/>
        <v>67.909290049936217</v>
      </c>
      <c r="G14" s="1">
        <f t="shared" si="2"/>
        <v>339.79266607033833</v>
      </c>
    </row>
    <row r="15" spans="1:9">
      <c r="A15" s="1" t="s">
        <v>4</v>
      </c>
      <c r="B15" s="1">
        <v>54</v>
      </c>
      <c r="C15" s="1">
        <v>8.9714039126356209</v>
      </c>
      <c r="D15" s="1">
        <v>8.6410649999999999E-3</v>
      </c>
      <c r="E15" s="1">
        <f t="shared" si="0"/>
        <v>8.96276284763562</v>
      </c>
      <c r="F15" s="1">
        <f t="shared" si="1"/>
        <v>99.903682131758316</v>
      </c>
      <c r="G15" s="1">
        <f t="shared" si="2"/>
        <v>80.33111786295737</v>
      </c>
    </row>
    <row r="16" spans="1:9">
      <c r="A16" s="1" t="s">
        <v>4</v>
      </c>
      <c r="B16" s="1">
        <v>60</v>
      </c>
      <c r="C16" s="1">
        <v>7.82122392383621</v>
      </c>
      <c r="D16" s="1">
        <v>6.1456337142857097E-3</v>
      </c>
      <c r="E16" s="1">
        <f t="shared" si="0"/>
        <v>7.8150782901219245</v>
      </c>
      <c r="F16" s="1">
        <f t="shared" si="1"/>
        <v>99.921423631721424</v>
      </c>
      <c r="G16" s="1">
        <f t="shared" si="2"/>
        <v>61.075448680735022</v>
      </c>
    </row>
    <row r="17" spans="1:20">
      <c r="A17" s="1" t="s">
        <v>4</v>
      </c>
      <c r="B17" s="1">
        <v>66</v>
      </c>
      <c r="C17" s="1">
        <v>6.9010799327966801</v>
      </c>
      <c r="D17" s="1">
        <v>7.55396914285714E-3</v>
      </c>
      <c r="E17" s="1">
        <f t="shared" si="0"/>
        <v>6.8935259636538229</v>
      </c>
      <c r="F17" s="1">
        <f t="shared" si="1"/>
        <v>99.890539318245573</v>
      </c>
      <c r="G17" s="1">
        <f t="shared" si="2"/>
        <v>47.52070021156937</v>
      </c>
    </row>
    <row r="18" spans="1:20">
      <c r="H18" s="1" t="s">
        <v>12</v>
      </c>
      <c r="I18" s="1" t="s">
        <v>9</v>
      </c>
    </row>
    <row r="19" spans="1:20">
      <c r="A19" s="2" t="s">
        <v>5</v>
      </c>
      <c r="B19" s="2">
        <v>11</v>
      </c>
      <c r="C19" s="2">
        <v>6.34322960906559</v>
      </c>
      <c r="D19" s="2">
        <v>28.315919999999998</v>
      </c>
      <c r="E19" s="2">
        <f t="shared" si="0"/>
        <v>21.97269039093441</v>
      </c>
      <c r="F19" s="2">
        <f t="shared" si="1"/>
        <v>346.39594883230421</v>
      </c>
      <c r="G19" s="2">
        <f t="shared" si="2"/>
        <v>482.79912301586137</v>
      </c>
      <c r="H19" s="2">
        <f>AVERAGE(G19:G34)</f>
        <v>334.64168822400615</v>
      </c>
      <c r="I19" s="2">
        <f>SQRT(H19)</f>
        <v>18.293214267153985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" t="s">
        <v>5</v>
      </c>
      <c r="B20" s="1">
        <v>15</v>
      </c>
      <c r="C20" s="1">
        <v>53.734110242627096</v>
      </c>
      <c r="D20" s="1">
        <v>18.0362555956679</v>
      </c>
      <c r="E20" s="1">
        <f t="shared" si="0"/>
        <v>35.6978546469592</v>
      </c>
      <c r="F20" s="1">
        <f t="shared" si="1"/>
        <v>66.434252815896087</v>
      </c>
      <c r="G20" s="1">
        <f t="shared" si="2"/>
        <v>1274.3368263954267</v>
      </c>
    </row>
    <row r="21" spans="1:20" s="3" customFormat="1">
      <c r="A21" s="3" t="s">
        <v>5</v>
      </c>
      <c r="B21" s="3">
        <v>19</v>
      </c>
      <c r="C21" s="3">
        <v>4.8638634271343202</v>
      </c>
      <c r="D21" s="3">
        <v>6.33697542857143E-3</v>
      </c>
      <c r="E21" s="3">
        <f t="shared" si="0"/>
        <v>4.8575264517057484</v>
      </c>
      <c r="F21" s="3">
        <f t="shared" si="1"/>
        <v>99.869713129829691</v>
      </c>
      <c r="G21" s="3">
        <f t="shared" si="2"/>
        <v>23.595563229021039</v>
      </c>
    </row>
    <row r="22" spans="1:20">
      <c r="A22" s="1" t="s">
        <v>5</v>
      </c>
      <c r="B22" s="1">
        <v>20</v>
      </c>
      <c r="C22" s="1">
        <v>11.812239751611999</v>
      </c>
      <c r="D22" s="1">
        <v>9.4751809090909099E-3</v>
      </c>
      <c r="E22" s="1">
        <f t="shared" si="0"/>
        <v>11.802764570702909</v>
      </c>
      <c r="F22" s="1">
        <f t="shared" si="1"/>
        <v>99.919785061018615</v>
      </c>
      <c r="G22" s="1">
        <f t="shared" si="2"/>
        <v>139.30525151143982</v>
      </c>
    </row>
    <row r="23" spans="1:20">
      <c r="A23" s="1" t="s">
        <v>5</v>
      </c>
      <c r="B23" s="1">
        <v>25</v>
      </c>
      <c r="C23" s="1">
        <v>21.8427696175828</v>
      </c>
      <c r="D23" s="1">
        <v>18.101099999999999</v>
      </c>
      <c r="E23" s="1">
        <f t="shared" si="0"/>
        <v>3.7416696175828008</v>
      </c>
      <c r="F23" s="1">
        <f t="shared" si="1"/>
        <v>17.130014568165681</v>
      </c>
      <c r="G23" s="1">
        <f t="shared" si="2"/>
        <v>14.000091527142223</v>
      </c>
    </row>
    <row r="24" spans="1:20">
      <c r="A24" s="1" t="s">
        <v>5</v>
      </c>
      <c r="B24" s="1">
        <v>34</v>
      </c>
      <c r="C24" s="1">
        <v>79.414026928459293</v>
      </c>
      <c r="D24" s="1">
        <v>55.957805922790698</v>
      </c>
      <c r="E24" s="1">
        <f t="shared" si="0"/>
        <v>23.456221005668596</v>
      </c>
      <c r="F24" s="1">
        <f t="shared" si="1"/>
        <v>29.536622071563386</v>
      </c>
      <c r="G24" s="1">
        <f t="shared" si="2"/>
        <v>550.19430386676868</v>
      </c>
    </row>
    <row r="25" spans="1:20">
      <c r="A25" s="1" t="s">
        <v>5</v>
      </c>
      <c r="B25" s="1">
        <v>37</v>
      </c>
      <c r="C25" s="1">
        <v>6.9281783690136596</v>
      </c>
      <c r="D25" s="1">
        <v>2.62381843571429</v>
      </c>
      <c r="E25" s="1">
        <f t="shared" si="0"/>
        <v>4.3043599332993701</v>
      </c>
      <c r="F25" s="1">
        <f t="shared" si="1"/>
        <v>62.128307096576194</v>
      </c>
      <c r="G25" s="1">
        <f t="shared" si="2"/>
        <v>18.527514435392959</v>
      </c>
    </row>
    <row r="26" spans="1:20">
      <c r="A26" s="1" t="s">
        <v>5</v>
      </c>
      <c r="B26" s="1">
        <v>40</v>
      </c>
      <c r="C26" s="1">
        <v>56.895040545535998</v>
      </c>
      <c r="D26" s="1">
        <v>35.313257142857097</v>
      </c>
      <c r="E26" s="1">
        <f t="shared" si="0"/>
        <v>21.581783402678901</v>
      </c>
      <c r="F26" s="1">
        <f t="shared" si="1"/>
        <v>37.932626808492913</v>
      </c>
      <c r="G26" s="1">
        <f t="shared" si="2"/>
        <v>465.77337484014652</v>
      </c>
    </row>
    <row r="27" spans="1:20">
      <c r="A27" s="1" t="s">
        <v>5</v>
      </c>
      <c r="B27" s="1">
        <v>43</v>
      </c>
      <c r="C27" s="1">
        <v>8.1878471633797894</v>
      </c>
      <c r="D27" s="1">
        <v>6.4302423529411798E-3</v>
      </c>
      <c r="E27" s="1">
        <f t="shared" si="0"/>
        <v>8.1814169210268481</v>
      </c>
      <c r="F27" s="1">
        <f t="shared" si="1"/>
        <v>99.92146601878818</v>
      </c>
      <c r="G27" s="1">
        <f t="shared" si="2"/>
        <v>66.935582835664434</v>
      </c>
    </row>
    <row r="28" spans="1:20">
      <c r="A28" s="1" t="s">
        <v>5</v>
      </c>
      <c r="B28" s="1">
        <v>56</v>
      </c>
      <c r="C28" s="1">
        <v>51.163832535575402</v>
      </c>
      <c r="D28" s="1">
        <v>8.8596059989380507</v>
      </c>
      <c r="E28" s="1">
        <f t="shared" si="0"/>
        <v>42.304226536637351</v>
      </c>
      <c r="F28" s="1">
        <f t="shared" si="1"/>
        <v>82.683849977857378</v>
      </c>
      <c r="G28" s="1">
        <f t="shared" si="2"/>
        <v>1789.6475828631319</v>
      </c>
    </row>
    <row r="29" spans="1:20">
      <c r="A29" s="1" t="s">
        <v>5</v>
      </c>
      <c r="B29" s="1">
        <v>57</v>
      </c>
      <c r="C29" s="1">
        <v>5.8655589945352604</v>
      </c>
      <c r="D29" s="1">
        <v>6.1020257142857101E-3</v>
      </c>
      <c r="E29" s="1">
        <f t="shared" si="0"/>
        <v>5.8594569688209743</v>
      </c>
      <c r="F29" s="1">
        <f t="shared" si="1"/>
        <v>99.895968556109125</v>
      </c>
      <c r="G29" s="1">
        <f t="shared" si="2"/>
        <v>34.333235969464681</v>
      </c>
    </row>
    <row r="30" spans="1:20">
      <c r="A30" s="1" t="s">
        <v>5</v>
      </c>
      <c r="B30" s="1">
        <v>58</v>
      </c>
      <c r="C30" s="1">
        <v>6.1043943018004301</v>
      </c>
      <c r="D30" s="1">
        <v>5.5228200000000003E-3</v>
      </c>
      <c r="E30" s="1">
        <f t="shared" si="0"/>
        <v>6.0988714818004297</v>
      </c>
      <c r="F30" s="1">
        <f t="shared" si="1"/>
        <v>99.909527141810429</v>
      </c>
      <c r="G30" s="1">
        <f t="shared" si="2"/>
        <v>37.196233351518572</v>
      </c>
    </row>
    <row r="31" spans="1:20">
      <c r="A31" s="1" t="s">
        <v>5</v>
      </c>
      <c r="B31" s="1">
        <v>72</v>
      </c>
      <c r="C31" s="1">
        <v>49.101859359641999</v>
      </c>
      <c r="D31" s="1">
        <v>56.709240000000001</v>
      </c>
      <c r="E31" s="1">
        <f>ABS(C31-D31)</f>
        <v>7.6073806403580022</v>
      </c>
      <c r="F31" s="1">
        <f t="shared" si="1"/>
        <v>15.493060221280929</v>
      </c>
      <c r="G31" s="1">
        <f t="shared" si="2"/>
        <v>57.872240207293729</v>
      </c>
    </row>
    <row r="32" spans="1:20">
      <c r="A32" s="1" t="s">
        <v>5</v>
      </c>
      <c r="B32" s="1">
        <v>80</v>
      </c>
      <c r="C32" s="1">
        <v>18.7606160760897</v>
      </c>
      <c r="D32" s="1">
        <v>5.7924358383907997</v>
      </c>
      <c r="E32" s="1">
        <f t="shared" si="0"/>
        <v>12.968180237698901</v>
      </c>
      <c r="F32" s="1">
        <f t="shared" si="1"/>
        <v>69.124490289137015</v>
      </c>
      <c r="G32" s="1">
        <f t="shared" si="2"/>
        <v>168.17369867744432</v>
      </c>
    </row>
    <row r="33" spans="1:7">
      <c r="A33" s="1" t="s">
        <v>5</v>
      </c>
      <c r="B33" s="1">
        <v>89</v>
      </c>
      <c r="C33" s="1">
        <v>18.685087116430701</v>
      </c>
      <c r="D33" s="1">
        <v>6.4901999999999997</v>
      </c>
      <c r="E33" s="1">
        <f t="shared" si="0"/>
        <v>12.194887116430701</v>
      </c>
      <c r="F33" s="1">
        <f t="shared" si="1"/>
        <v>65.265347923944901</v>
      </c>
      <c r="G33" s="1">
        <f t="shared" si="2"/>
        <v>148.71527178248749</v>
      </c>
    </row>
    <row r="34" spans="1:7">
      <c r="A34" s="1" t="s">
        <v>5</v>
      </c>
      <c r="B34" s="1">
        <v>98</v>
      </c>
      <c r="C34" s="1">
        <v>9.4169043095212093</v>
      </c>
      <c r="D34" s="1">
        <v>0.31409611227272699</v>
      </c>
      <c r="E34" s="1">
        <f t="shared" si="0"/>
        <v>9.102808197248482</v>
      </c>
      <c r="F34" s="1">
        <f t="shared" si="1"/>
        <v>96.664550239135892</v>
      </c>
      <c r="G34" s="1">
        <f t="shared" si="2"/>
        <v>82.861117075894157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runRateMax.csv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Sidney Bush</dc:creator>
  <cp:lastModifiedBy>Sidney Bush</cp:lastModifiedBy>
  <dcterms:created xsi:type="dcterms:W3CDTF">2017-10-30T05:25:00Z</dcterms:created>
  <dcterms:modified xsi:type="dcterms:W3CDTF">2017-11-17T22:35:04Z</dcterms:modified>
</cp:coreProperties>
</file>