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028"/>
  <workbookPr date1904="1" showInkAnnotation="0" autoCompressPictures="0"/>
  <bookViews>
    <workbookView xWindow="160" yWindow="0" windowWidth="16620" windowHeight="15980" tabRatio="500" activeTab="1"/>
  </bookViews>
  <sheets>
    <sheet name="runRateMax.csv" sheetId="1" r:id="rId1"/>
    <sheet name="Sheet1" sheetId="2" r:id="rId2"/>
  </sheet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5" i="2" l="1"/>
  <c r="F16" i="2"/>
  <c r="F17" i="2"/>
  <c r="F18" i="2"/>
  <c r="F19" i="2"/>
  <c r="F20" i="2"/>
  <c r="F21" i="2"/>
  <c r="F25" i="2"/>
  <c r="F26" i="2"/>
  <c r="F27" i="2"/>
  <c r="F28" i="2"/>
  <c r="F29" i="2"/>
  <c r="F30" i="2"/>
  <c r="F3" i="2"/>
  <c r="F4" i="2"/>
  <c r="F5" i="2"/>
  <c r="F6" i="2"/>
  <c r="F7" i="2"/>
  <c r="F8" i="2"/>
  <c r="F2" i="2"/>
  <c r="E30" i="2"/>
  <c r="G30" i="2"/>
  <c r="E29" i="2"/>
  <c r="G29" i="2"/>
  <c r="E28" i="2"/>
  <c r="G28" i="2"/>
  <c r="E27" i="2"/>
  <c r="G27" i="2"/>
  <c r="E26" i="2"/>
  <c r="G26" i="2"/>
  <c r="E25" i="2"/>
  <c r="G25" i="2"/>
  <c r="H25" i="2"/>
  <c r="I25" i="2"/>
  <c r="E15" i="2"/>
  <c r="G15" i="2"/>
  <c r="E16" i="2"/>
  <c r="G16" i="2"/>
  <c r="E17" i="2"/>
  <c r="G17" i="2"/>
  <c r="E18" i="2"/>
  <c r="G18" i="2"/>
  <c r="E19" i="2"/>
  <c r="G19" i="2"/>
  <c r="E20" i="2"/>
  <c r="G20" i="2"/>
  <c r="E21" i="2"/>
  <c r="G21" i="2"/>
  <c r="H15" i="2"/>
  <c r="I15" i="2"/>
  <c r="E2" i="2"/>
  <c r="G2" i="2"/>
  <c r="E3" i="2"/>
  <c r="G3" i="2"/>
  <c r="E4" i="2"/>
  <c r="G4" i="2"/>
  <c r="E5" i="2"/>
  <c r="G5" i="2"/>
  <c r="E6" i="2"/>
  <c r="G6" i="2"/>
  <c r="E7" i="2"/>
  <c r="G7" i="2"/>
  <c r="E8" i="2"/>
  <c r="G8" i="2"/>
  <c r="H2" i="2"/>
  <c r="I2" i="2"/>
</calcChain>
</file>

<file path=xl/sharedStrings.xml><?xml version="1.0" encoding="utf-8"?>
<sst xmlns="http://schemas.openxmlformats.org/spreadsheetml/2006/main" count="71" uniqueCount="12">
  <si>
    <t>Site</t>
  </si>
  <si>
    <t>Num</t>
  </si>
  <si>
    <t>obsRunRateMax</t>
  </si>
  <si>
    <t>hydRunRateMax</t>
  </si>
  <si>
    <t>MAT</t>
  </si>
  <si>
    <t>PAS</t>
  </si>
  <si>
    <t>Error</t>
  </si>
  <si>
    <t>Err Squared</t>
  </si>
  <si>
    <t>mean err</t>
  </si>
  <si>
    <t>sqrt(mean(square(err)))</t>
  </si>
  <si>
    <t>excluding the outlier of PAS 35</t>
  </si>
  <si>
    <t>Percent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</si>
</sst>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2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workbookViewId="0">
      <selection activeCell="E43" sqref="E43"/>
    </sheetView>
  </sheetViews>
  <sheetFormatPr baseColWidth="10" defaultRowHeight="15" x14ac:dyDescent="0"/>
  <cols>
    <col min="3" max="3" width="17.164062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10</v>
      </c>
      <c r="C2">
        <v>22.227152960278701</v>
      </c>
      <c r="D2">
        <v>2.56736369747899</v>
      </c>
    </row>
    <row r="3" spans="1:4">
      <c r="A3" t="s">
        <v>4</v>
      </c>
      <c r="B3">
        <v>12</v>
      </c>
      <c r="C3">
        <v>5.7481652472392</v>
      </c>
      <c r="D3">
        <v>8.7062466666666706E-3</v>
      </c>
    </row>
    <row r="4" spans="1:4">
      <c r="A4" t="s">
        <v>4</v>
      </c>
      <c r="B4">
        <v>13</v>
      </c>
      <c r="C4">
        <v>9.0186386250942903</v>
      </c>
      <c r="D4">
        <v>6.1335787500000002E-3</v>
      </c>
    </row>
    <row r="5" spans="1:4">
      <c r="A5" t="s">
        <v>4</v>
      </c>
      <c r="B5">
        <v>25</v>
      </c>
      <c r="C5">
        <v>9.0186386250942707</v>
      </c>
      <c r="D5">
        <v>7.8975394285714304E-3</v>
      </c>
    </row>
    <row r="6" spans="1:4">
      <c r="A6" t="s">
        <v>4</v>
      </c>
      <c r="B6">
        <v>26</v>
      </c>
      <c r="C6">
        <v>12.421943879034</v>
      </c>
      <c r="D6">
        <v>8.1212152941176497E-3</v>
      </c>
    </row>
    <row r="7" spans="1:4">
      <c r="A7" t="s">
        <v>4</v>
      </c>
      <c r="B7">
        <v>28</v>
      </c>
      <c r="C7">
        <v>8.9714039126356209</v>
      </c>
      <c r="D7">
        <v>6.0668179999999999E-3</v>
      </c>
    </row>
    <row r="8" spans="1:4">
      <c r="A8" t="s">
        <v>4</v>
      </c>
      <c r="B8">
        <v>30</v>
      </c>
      <c r="C8">
        <v>10.121583901435001</v>
      </c>
      <c r="D8">
        <v>6.5305011428571404E-3</v>
      </c>
    </row>
    <row r="9" spans="1:4">
      <c r="A9" t="s">
        <v>4</v>
      </c>
      <c r="B9">
        <v>31</v>
      </c>
      <c r="C9">
        <v>12.421943879034</v>
      </c>
      <c r="D9">
        <v>7.5025237500000001E-3</v>
      </c>
    </row>
    <row r="10" spans="1:4">
      <c r="A10" t="s">
        <v>4</v>
      </c>
      <c r="B10">
        <v>40</v>
      </c>
      <c r="C10">
        <v>11.4963304944784</v>
      </c>
      <c r="D10">
        <v>3.0279222857142901E-3</v>
      </c>
    </row>
    <row r="11" spans="1:4">
      <c r="A11" t="s">
        <v>4</v>
      </c>
      <c r="B11">
        <v>41</v>
      </c>
      <c r="C11">
        <v>3.22050396863844</v>
      </c>
      <c r="D11">
        <v>7.4285763636363703E-3</v>
      </c>
    </row>
    <row r="12" spans="1:4">
      <c r="A12" t="s">
        <v>4</v>
      </c>
      <c r="B12">
        <v>42</v>
      </c>
      <c r="C12">
        <v>4.60071995519775</v>
      </c>
      <c r="D12">
        <v>7.5719142857142898E-3</v>
      </c>
    </row>
    <row r="13" spans="1:4">
      <c r="A13" t="s">
        <v>4</v>
      </c>
      <c r="B13">
        <v>47</v>
      </c>
      <c r="C13">
        <v>8.9714039126356901</v>
      </c>
      <c r="D13">
        <v>7.6203188571428602E-3</v>
      </c>
    </row>
    <row r="14" spans="1:4">
      <c r="A14" t="s">
        <v>4</v>
      </c>
      <c r="B14">
        <v>5</v>
      </c>
      <c r="C14">
        <v>7.3437797764905</v>
      </c>
      <c r="D14">
        <v>9.6582290322580599E-3</v>
      </c>
    </row>
    <row r="15" spans="1:4">
      <c r="A15" t="s">
        <v>4</v>
      </c>
      <c r="B15">
        <v>51</v>
      </c>
      <c r="C15">
        <v>27.144247735666799</v>
      </c>
      <c r="D15">
        <v>3.9721138701315799</v>
      </c>
    </row>
    <row r="16" spans="1:4">
      <c r="A16" t="s">
        <v>4</v>
      </c>
      <c r="B16">
        <v>54</v>
      </c>
      <c r="C16">
        <v>8.9714039126356209</v>
      </c>
      <c r="D16">
        <v>8.6168531250000006E-3</v>
      </c>
    </row>
    <row r="17" spans="1:4">
      <c r="A17" t="s">
        <v>4</v>
      </c>
      <c r="B17">
        <v>60</v>
      </c>
      <c r="C17">
        <v>7.82122392383621</v>
      </c>
      <c r="D17">
        <v>6.1456337142857097E-3</v>
      </c>
    </row>
    <row r="18" spans="1:4">
      <c r="A18" t="s">
        <v>4</v>
      </c>
      <c r="B18">
        <v>66</v>
      </c>
      <c r="C18">
        <v>6.9010799327966801</v>
      </c>
      <c r="D18">
        <v>7.5057908571428602E-3</v>
      </c>
    </row>
    <row r="19" spans="1:4">
      <c r="A19" t="s">
        <v>4</v>
      </c>
      <c r="B19">
        <v>7</v>
      </c>
      <c r="C19">
        <v>1.2771790915635699</v>
      </c>
      <c r="D19">
        <v>7.1697702857142897E-3</v>
      </c>
    </row>
    <row r="20" spans="1:4">
      <c r="A20" t="s">
        <v>5</v>
      </c>
      <c r="B20">
        <v>11</v>
      </c>
      <c r="C20">
        <v>6.34322960906559</v>
      </c>
      <c r="D20">
        <v>45.254657142857099</v>
      </c>
    </row>
    <row r="21" spans="1:4">
      <c r="A21" t="s">
        <v>5</v>
      </c>
      <c r="B21">
        <v>13</v>
      </c>
      <c r="C21">
        <v>35.122425017998097</v>
      </c>
      <c r="D21">
        <v>65.745428571428604</v>
      </c>
    </row>
    <row r="22" spans="1:4">
      <c r="A22" t="s">
        <v>5</v>
      </c>
      <c r="B22">
        <v>15</v>
      </c>
      <c r="C22">
        <v>53.734110242627096</v>
      </c>
      <c r="D22">
        <v>18.0362555956679</v>
      </c>
    </row>
    <row r="23" spans="1:4">
      <c r="A23" t="s">
        <v>5</v>
      </c>
      <c r="B23">
        <v>19</v>
      </c>
      <c r="C23">
        <v>4.8638634271343202</v>
      </c>
      <c r="D23">
        <v>6.6115234285714303E-3</v>
      </c>
    </row>
    <row r="24" spans="1:4">
      <c r="A24" t="s">
        <v>5</v>
      </c>
      <c r="B24">
        <v>20</v>
      </c>
      <c r="C24">
        <v>11.812239751611999</v>
      </c>
      <c r="D24">
        <v>7.1221611428571403E-3</v>
      </c>
    </row>
    <row r="25" spans="1:4">
      <c r="A25" t="s">
        <v>5</v>
      </c>
      <c r="B25">
        <v>25</v>
      </c>
      <c r="C25">
        <v>21.8427696175828</v>
      </c>
      <c r="D25">
        <v>10.360200000000001</v>
      </c>
    </row>
    <row r="26" spans="1:4">
      <c r="A26" t="s">
        <v>5</v>
      </c>
      <c r="B26">
        <v>34</v>
      </c>
      <c r="C26">
        <v>79.414026928459293</v>
      </c>
      <c r="D26">
        <v>13.9992</v>
      </c>
    </row>
    <row r="27" spans="1:4">
      <c r="A27" t="s">
        <v>5</v>
      </c>
      <c r="B27">
        <v>35</v>
      </c>
      <c r="C27">
        <v>203.226565491066</v>
      </c>
      <c r="D27">
        <v>24.4515931034483</v>
      </c>
    </row>
    <row r="28" spans="1:4">
      <c r="A28" t="s">
        <v>5</v>
      </c>
      <c r="B28">
        <v>37</v>
      </c>
      <c r="C28">
        <v>6.9281783690136596</v>
      </c>
      <c r="D28">
        <v>2.62381843571429</v>
      </c>
    </row>
    <row r="29" spans="1:4">
      <c r="A29" t="s">
        <v>5</v>
      </c>
      <c r="B29">
        <v>40</v>
      </c>
      <c r="C29">
        <v>56.895040545535998</v>
      </c>
      <c r="D29">
        <v>28.9275428571429</v>
      </c>
    </row>
    <row r="30" spans="1:4">
      <c r="A30" t="s">
        <v>5</v>
      </c>
      <c r="B30">
        <v>43</v>
      </c>
      <c r="C30">
        <v>8.1878471633797894</v>
      </c>
      <c r="D30">
        <v>6.9921394285714297E-3</v>
      </c>
    </row>
    <row r="31" spans="1:4">
      <c r="A31" t="s">
        <v>5</v>
      </c>
      <c r="B31">
        <v>56</v>
      </c>
      <c r="C31">
        <v>51.163832535575402</v>
      </c>
      <c r="D31">
        <v>2.60257715942857</v>
      </c>
    </row>
    <row r="32" spans="1:4">
      <c r="A32" t="s">
        <v>5</v>
      </c>
      <c r="B32">
        <v>57</v>
      </c>
      <c r="C32">
        <v>5.8655589945352604</v>
      </c>
      <c r="D32">
        <v>9.2145830769230792E-3</v>
      </c>
    </row>
    <row r="33" spans="1:4">
      <c r="A33" t="s">
        <v>5</v>
      </c>
      <c r="B33">
        <v>58</v>
      </c>
      <c r="C33">
        <v>6.1043943018004301</v>
      </c>
      <c r="D33">
        <v>6.52022742857143E-3</v>
      </c>
    </row>
    <row r="34" spans="1:4">
      <c r="A34" t="s">
        <v>5</v>
      </c>
      <c r="B34">
        <v>64</v>
      </c>
      <c r="C34">
        <v>17.401565122553599</v>
      </c>
      <c r="D34">
        <v>7.2992241176470596E-3</v>
      </c>
    </row>
    <row r="35" spans="1:4">
      <c r="A35" t="s">
        <v>5</v>
      </c>
      <c r="B35">
        <v>72</v>
      </c>
      <c r="C35">
        <v>49.101859359641999</v>
      </c>
      <c r="D35">
        <v>50.9617348101266</v>
      </c>
    </row>
    <row r="36" spans="1:4">
      <c r="A36" t="s">
        <v>5</v>
      </c>
      <c r="B36">
        <v>80</v>
      </c>
      <c r="C36">
        <v>18.7606160760897</v>
      </c>
      <c r="D36">
        <v>5.7924358383907997</v>
      </c>
    </row>
    <row r="37" spans="1:4">
      <c r="A37" t="s">
        <v>5</v>
      </c>
      <c r="B37">
        <v>89</v>
      </c>
      <c r="C37">
        <v>18.685087116430701</v>
      </c>
      <c r="D37">
        <v>6.4901999999999997</v>
      </c>
    </row>
    <row r="38" spans="1:4">
      <c r="A38" t="s">
        <v>5</v>
      </c>
      <c r="B38">
        <v>98</v>
      </c>
      <c r="C38">
        <v>9.4169043095212093</v>
      </c>
      <c r="D38">
        <v>0.31409611227272699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tabSelected="1" workbookViewId="0">
      <selection activeCell="I2" sqref="I2"/>
    </sheetView>
  </sheetViews>
  <sheetFormatPr baseColWidth="10" defaultRowHeight="15" x14ac:dyDescent="0"/>
  <cols>
    <col min="3" max="3" width="14.5" bestFit="1" customWidth="1"/>
    <col min="4" max="4" width="14.6640625" bestFit="1" customWidth="1"/>
    <col min="6" max="7" width="12.164062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6</v>
      </c>
      <c r="F1" t="s">
        <v>11</v>
      </c>
      <c r="G1" t="s">
        <v>7</v>
      </c>
      <c r="H1" t="s">
        <v>8</v>
      </c>
      <c r="I1" t="s">
        <v>9</v>
      </c>
    </row>
    <row r="2" spans="1:9">
      <c r="A2" t="s">
        <v>4</v>
      </c>
      <c r="B2">
        <v>10</v>
      </c>
      <c r="C2">
        <v>22.227152960278701</v>
      </c>
      <c r="D2">
        <v>2.56736369747899</v>
      </c>
      <c r="E2">
        <f>C2-D2</f>
        <v>19.659789262799713</v>
      </c>
      <c r="F2">
        <f>(E2/C2)*100</f>
        <v>88.449426239757173</v>
      </c>
      <c r="G2">
        <f>E2^2</f>
        <v>386.50731385769484</v>
      </c>
      <c r="H2">
        <f>AVERAGE(G2:G8)</f>
        <v>189.82811263691428</v>
      </c>
      <c r="I2">
        <f>SQRT(H2)</f>
        <v>13.777812331314223</v>
      </c>
    </row>
    <row r="3" spans="1:9">
      <c r="A3" t="s">
        <v>4</v>
      </c>
      <c r="B3">
        <v>13</v>
      </c>
      <c r="C3">
        <v>9.0186386250942903</v>
      </c>
      <c r="D3">
        <v>6.1335787500000002E-3</v>
      </c>
      <c r="E3">
        <f t="shared" ref="E3:E21" si="0">C3-D3</f>
        <v>9.0125050463442911</v>
      </c>
      <c r="F3">
        <f t="shared" ref="F3:F30" si="1">(E3/C3)*100</f>
        <v>99.931989970937167</v>
      </c>
      <c r="G3">
        <f t="shared" ref="G3:G21" si="2">E3^2</f>
        <v>81.225247210381312</v>
      </c>
    </row>
    <row r="4" spans="1:9">
      <c r="A4" t="s">
        <v>4</v>
      </c>
      <c r="B4">
        <v>28</v>
      </c>
      <c r="C4">
        <v>8.9714039126356209</v>
      </c>
      <c r="D4">
        <v>6.0668179999999999E-3</v>
      </c>
      <c r="E4">
        <f t="shared" si="0"/>
        <v>8.9653370946356201</v>
      </c>
      <c r="F4">
        <f t="shared" si="1"/>
        <v>99.932376046613442</v>
      </c>
      <c r="G4">
        <f t="shared" si="2"/>
        <v>80.377269220449463</v>
      </c>
    </row>
    <row r="5" spans="1:9">
      <c r="A5" t="s">
        <v>4</v>
      </c>
      <c r="B5">
        <v>30</v>
      </c>
      <c r="C5">
        <v>10.121583901435001</v>
      </c>
      <c r="D5">
        <v>6.5305011428571404E-3</v>
      </c>
      <c r="E5">
        <f t="shared" si="0"/>
        <v>10.115053400292144</v>
      </c>
      <c r="F5">
        <f t="shared" si="1"/>
        <v>99.935479454535454</v>
      </c>
      <c r="G5">
        <f t="shared" si="2"/>
        <v>102.31430529076167</v>
      </c>
    </row>
    <row r="6" spans="1:9">
      <c r="A6" t="s">
        <v>4</v>
      </c>
      <c r="B6">
        <v>47</v>
      </c>
      <c r="C6">
        <v>8.9714039126356901</v>
      </c>
      <c r="D6">
        <v>7.6203188571428602E-3</v>
      </c>
      <c r="E6">
        <f t="shared" si="0"/>
        <v>8.9637835937785475</v>
      </c>
      <c r="F6">
        <f t="shared" si="1"/>
        <v>99.915059906661767</v>
      </c>
      <c r="G6">
        <f t="shared" si="2"/>
        <v>80.349416316093453</v>
      </c>
    </row>
    <row r="7" spans="1:9">
      <c r="A7" t="s">
        <v>4</v>
      </c>
      <c r="B7">
        <v>51</v>
      </c>
      <c r="C7">
        <v>27.144247735666799</v>
      </c>
      <c r="D7">
        <v>3.9721138701315799</v>
      </c>
      <c r="E7">
        <f t="shared" si="0"/>
        <v>23.172133865535219</v>
      </c>
      <c r="F7">
        <f t="shared" si="1"/>
        <v>85.366645969295618</v>
      </c>
      <c r="G7">
        <f t="shared" si="2"/>
        <v>536.94778788228416</v>
      </c>
    </row>
    <row r="8" spans="1:9">
      <c r="A8" t="s">
        <v>4</v>
      </c>
      <c r="B8">
        <v>60</v>
      </c>
      <c r="C8">
        <v>7.82122392383621</v>
      </c>
      <c r="D8">
        <v>6.1456337142857097E-3</v>
      </c>
      <c r="E8">
        <f t="shared" si="0"/>
        <v>7.8150782901219245</v>
      </c>
      <c r="F8">
        <f t="shared" si="1"/>
        <v>99.921423631721424</v>
      </c>
      <c r="G8">
        <f t="shared" si="2"/>
        <v>61.075448680735022</v>
      </c>
    </row>
    <row r="15" spans="1:9">
      <c r="A15" t="s">
        <v>5</v>
      </c>
      <c r="B15">
        <v>15</v>
      </c>
      <c r="C15">
        <v>53.734110242627096</v>
      </c>
      <c r="D15">
        <v>18.0362555956679</v>
      </c>
      <c r="E15">
        <f t="shared" si="0"/>
        <v>35.6978546469592</v>
      </c>
      <c r="F15">
        <f t="shared" si="1"/>
        <v>66.434252815896087</v>
      </c>
      <c r="G15">
        <f t="shared" si="2"/>
        <v>1274.3368263954267</v>
      </c>
      <c r="H15">
        <f>AVERAGE(G15:G21)</f>
        <v>4805.7676832801953</v>
      </c>
      <c r="I15">
        <f>SQRT(H15)</f>
        <v>69.323644474884574</v>
      </c>
    </row>
    <row r="16" spans="1:9">
      <c r="A16" t="s">
        <v>5</v>
      </c>
      <c r="B16">
        <v>19</v>
      </c>
      <c r="C16">
        <v>4.8638634271343202</v>
      </c>
      <c r="D16">
        <v>6.6115234285714303E-3</v>
      </c>
      <c r="E16">
        <f t="shared" si="0"/>
        <v>4.8572519037057491</v>
      </c>
      <c r="F16">
        <f t="shared" si="1"/>
        <v>99.864068481205976</v>
      </c>
      <c r="G16">
        <f t="shared" si="2"/>
        <v>23.592896056053124</v>
      </c>
    </row>
    <row r="17" spans="1:9">
      <c r="A17" t="s">
        <v>5</v>
      </c>
      <c r="B17">
        <v>25</v>
      </c>
      <c r="C17">
        <v>21.8427696175828</v>
      </c>
      <c r="D17">
        <v>10.360200000000001</v>
      </c>
      <c r="E17">
        <f t="shared" si="0"/>
        <v>11.482569617582799</v>
      </c>
      <c r="F17">
        <f t="shared" si="1"/>
        <v>52.569201702057335</v>
      </c>
      <c r="G17">
        <f t="shared" si="2"/>
        <v>131.84940502263558</v>
      </c>
    </row>
    <row r="18" spans="1:9">
      <c r="A18" t="s">
        <v>5</v>
      </c>
      <c r="B18">
        <v>35</v>
      </c>
      <c r="C18">
        <v>203.226565491066</v>
      </c>
      <c r="D18">
        <v>24.4515931034483</v>
      </c>
      <c r="E18">
        <f t="shared" si="0"/>
        <v>178.77497238761771</v>
      </c>
      <c r="F18">
        <f t="shared" si="1"/>
        <v>87.968308648839908</v>
      </c>
      <c r="G18">
        <f t="shared" si="2"/>
        <v>31960.490752193473</v>
      </c>
    </row>
    <row r="19" spans="1:9">
      <c r="A19" t="s">
        <v>5</v>
      </c>
      <c r="B19">
        <v>37</v>
      </c>
      <c r="C19">
        <v>6.9281783690136596</v>
      </c>
      <c r="D19">
        <v>2.62381843571429</v>
      </c>
      <c r="E19">
        <f t="shared" si="0"/>
        <v>4.3043599332993701</v>
      </c>
      <c r="F19">
        <f t="shared" si="1"/>
        <v>62.128307096576194</v>
      </c>
      <c r="G19">
        <f t="shared" si="2"/>
        <v>18.527514435392959</v>
      </c>
    </row>
    <row r="20" spans="1:9">
      <c r="A20" t="s">
        <v>5</v>
      </c>
      <c r="B20">
        <v>89</v>
      </c>
      <c r="C20">
        <v>18.685087116430701</v>
      </c>
      <c r="D20">
        <v>6.4901999999999997</v>
      </c>
      <c r="E20">
        <f t="shared" si="0"/>
        <v>12.194887116430701</v>
      </c>
      <c r="F20">
        <f t="shared" si="1"/>
        <v>65.265347923944901</v>
      </c>
      <c r="G20">
        <f t="shared" si="2"/>
        <v>148.71527178248749</v>
      </c>
    </row>
    <row r="21" spans="1:9">
      <c r="A21" t="s">
        <v>5</v>
      </c>
      <c r="B21">
        <v>98</v>
      </c>
      <c r="C21">
        <v>9.4169043095212093</v>
      </c>
      <c r="D21">
        <v>0.31409611227272699</v>
      </c>
      <c r="E21">
        <f t="shared" si="0"/>
        <v>9.102808197248482</v>
      </c>
      <c r="F21">
        <f t="shared" si="1"/>
        <v>96.664550239135892</v>
      </c>
      <c r="G21">
        <f t="shared" si="2"/>
        <v>82.861117075894157</v>
      </c>
    </row>
    <row r="24" spans="1:9">
      <c r="A24" t="s">
        <v>10</v>
      </c>
    </row>
    <row r="25" spans="1:9">
      <c r="A25" t="s">
        <v>5</v>
      </c>
      <c r="B25">
        <v>15</v>
      </c>
      <c r="C25">
        <v>53.734110242627096</v>
      </c>
      <c r="D25">
        <v>18.0362555956679</v>
      </c>
      <c r="E25">
        <f t="shared" ref="E25:E30" si="3">C25-D25</f>
        <v>35.6978546469592</v>
      </c>
      <c r="F25">
        <f t="shared" si="1"/>
        <v>66.434252815896087</v>
      </c>
      <c r="G25">
        <f t="shared" ref="G25:G30" si="4">E25^2</f>
        <v>1274.3368263954267</v>
      </c>
      <c r="H25">
        <f>AVERAGE(G25:G30)</f>
        <v>279.98050512798164</v>
      </c>
      <c r="I25">
        <f>SQRT(H25)</f>
        <v>16.73261799982243</v>
      </c>
    </row>
    <row r="26" spans="1:9">
      <c r="A26" t="s">
        <v>5</v>
      </c>
      <c r="B26">
        <v>19</v>
      </c>
      <c r="C26">
        <v>4.8638634271343202</v>
      </c>
      <c r="D26">
        <v>6.6115234285714303E-3</v>
      </c>
      <c r="E26">
        <f t="shared" si="3"/>
        <v>4.8572519037057491</v>
      </c>
      <c r="F26">
        <f t="shared" si="1"/>
        <v>99.864068481205976</v>
      </c>
      <c r="G26">
        <f t="shared" si="4"/>
        <v>23.592896056053124</v>
      </c>
    </row>
    <row r="27" spans="1:9">
      <c r="A27" t="s">
        <v>5</v>
      </c>
      <c r="B27">
        <v>25</v>
      </c>
      <c r="C27">
        <v>21.8427696175828</v>
      </c>
      <c r="D27">
        <v>10.360200000000001</v>
      </c>
      <c r="E27">
        <f t="shared" si="3"/>
        <v>11.482569617582799</v>
      </c>
      <c r="F27">
        <f t="shared" si="1"/>
        <v>52.569201702057335</v>
      </c>
      <c r="G27">
        <f t="shared" si="4"/>
        <v>131.84940502263558</v>
      </c>
    </row>
    <row r="28" spans="1:9">
      <c r="A28" t="s">
        <v>5</v>
      </c>
      <c r="B28">
        <v>37</v>
      </c>
      <c r="C28">
        <v>6.9281783690136596</v>
      </c>
      <c r="D28">
        <v>2.62381843571429</v>
      </c>
      <c r="E28">
        <f t="shared" si="3"/>
        <v>4.3043599332993701</v>
      </c>
      <c r="F28">
        <f t="shared" si="1"/>
        <v>62.128307096576194</v>
      </c>
      <c r="G28">
        <f t="shared" si="4"/>
        <v>18.527514435392959</v>
      </c>
    </row>
    <row r="29" spans="1:9">
      <c r="A29" t="s">
        <v>5</v>
      </c>
      <c r="B29">
        <v>89</v>
      </c>
      <c r="C29">
        <v>18.685087116430701</v>
      </c>
      <c r="D29">
        <v>6.4901999999999997</v>
      </c>
      <c r="E29">
        <f t="shared" si="3"/>
        <v>12.194887116430701</v>
      </c>
      <c r="F29">
        <f t="shared" si="1"/>
        <v>65.265347923944901</v>
      </c>
      <c r="G29">
        <f t="shared" si="4"/>
        <v>148.71527178248749</v>
      </c>
    </row>
    <row r="30" spans="1:9">
      <c r="A30" t="s">
        <v>5</v>
      </c>
      <c r="B30">
        <v>98</v>
      </c>
      <c r="C30">
        <v>9.4169043095212093</v>
      </c>
      <c r="D30">
        <v>0.31409611227272699</v>
      </c>
      <c r="E30">
        <f t="shared" si="3"/>
        <v>9.102808197248482</v>
      </c>
      <c r="F30">
        <f t="shared" si="1"/>
        <v>96.664550239135892</v>
      </c>
      <c r="G30">
        <f t="shared" si="4"/>
        <v>82.861117075894157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runRateMax.csv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Sidney Bush</dc:creator>
  <cp:lastModifiedBy>Sidney Bush</cp:lastModifiedBy>
  <dcterms:created xsi:type="dcterms:W3CDTF">2017-10-24T04:22:03Z</dcterms:created>
  <dcterms:modified xsi:type="dcterms:W3CDTF">2017-10-25T02:05:37Z</dcterms:modified>
</cp:coreProperties>
</file>