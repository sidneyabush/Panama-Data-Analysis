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40" yWindow="0" windowWidth="28760" windowHeight="15780" tabRatio="500"/>
  </bookViews>
  <sheets>
    <sheet name="runTot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1" l="1"/>
  <c r="I1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2" i="1"/>
  <c r="G2" i="1"/>
  <c r="H2" i="1"/>
  <c r="I2" i="1"/>
  <c r="F2" i="1"/>
</calcChain>
</file>

<file path=xl/sharedStrings.xml><?xml version="1.0" encoding="utf-8"?>
<sst xmlns="http://schemas.openxmlformats.org/spreadsheetml/2006/main" count="41" uniqueCount="11">
  <si>
    <t>Site</t>
  </si>
  <si>
    <t>Num</t>
  </si>
  <si>
    <t>obsRunTot</t>
  </si>
  <si>
    <t>hydRunTot</t>
  </si>
  <si>
    <t>MAT</t>
  </si>
  <si>
    <t>PAS</t>
  </si>
  <si>
    <t>Error</t>
  </si>
  <si>
    <t>percent error</t>
  </si>
  <si>
    <t>error squared</t>
  </si>
  <si>
    <t>mean error MAT</t>
  </si>
  <si>
    <t>sqrt(mean(square(err)))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</si>
</sst>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11" fontId="0" fillId="0" borderId="0" xfId="0" applyNumberFormat="1" applyFill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I26" sqref="I26"/>
    </sheetView>
  </sheetViews>
  <sheetFormatPr baseColWidth="10" defaultRowHeight="15" x14ac:dyDescent="0"/>
  <cols>
    <col min="1" max="7" width="10.83203125" style="1"/>
    <col min="8" max="8" width="14.1640625" style="1" customWidth="1"/>
    <col min="9" max="9" width="25" style="1" customWidth="1"/>
    <col min="10" max="16384" width="10.832031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s="1" t="s">
        <v>4</v>
      </c>
      <c r="B2" s="1">
        <v>10</v>
      </c>
      <c r="C2" s="1">
        <v>2.4277948448891</v>
      </c>
      <c r="D2" s="1">
        <v>1.179</v>
      </c>
      <c r="E2" s="1">
        <f t="shared" ref="E2:E34" si="0">ABS(C2-D2)</f>
        <v>1.2487948448891</v>
      </c>
      <c r="F2" s="1">
        <f>(E2/C2)*100</f>
        <v>51.437412329876828</v>
      </c>
      <c r="G2" s="1">
        <f>E2^2</f>
        <v>1.5594885646215912</v>
      </c>
      <c r="H2" s="1">
        <f>AVERAGE(G2,G14)</f>
        <v>11.826791223925166</v>
      </c>
      <c r="I2" s="1">
        <f>SQRT(H2)</f>
        <v>3.4390102099187154</v>
      </c>
    </row>
    <row r="3" spans="1:9">
      <c r="A3" s="1" t="s">
        <v>4</v>
      </c>
      <c r="B3" s="1">
        <v>12</v>
      </c>
      <c r="C3" s="1">
        <v>1.3213948847117201</v>
      </c>
      <c r="D3" s="2">
        <v>5.9881000000000003E-6</v>
      </c>
      <c r="E3" s="1">
        <f t="shared" si="0"/>
        <v>1.32138889661172</v>
      </c>
      <c r="F3" s="1">
        <f t="shared" ref="F3:F34" si="1">(E3/C3)*100</f>
        <v>99.999546834934108</v>
      </c>
      <c r="G3" s="1">
        <f t="shared" ref="G3:G34" si="2">E3^2</f>
        <v>1.7460686160887389</v>
      </c>
    </row>
    <row r="4" spans="1:9">
      <c r="A4" s="1" t="s">
        <v>4</v>
      </c>
      <c r="B4" s="1">
        <v>13</v>
      </c>
      <c r="C4" s="1">
        <v>1.29954369110835</v>
      </c>
      <c r="D4" s="2">
        <v>8.9775E-6</v>
      </c>
      <c r="E4" s="1">
        <f t="shared" si="0"/>
        <v>1.2995347136083499</v>
      </c>
      <c r="F4" s="1">
        <f t="shared" si="1"/>
        <v>99.999309180594594</v>
      </c>
      <c r="G4" s="1">
        <f t="shared" si="2"/>
        <v>1.6887904718731361</v>
      </c>
    </row>
    <row r="5" spans="1:9">
      <c r="A5" s="1" t="s">
        <v>4</v>
      </c>
      <c r="B5" s="1">
        <v>17</v>
      </c>
      <c r="C5" s="1">
        <v>3.5316372198661998</v>
      </c>
      <c r="D5" s="2">
        <v>9.9188999999999992E-6</v>
      </c>
      <c r="E5" s="1">
        <f t="shared" si="0"/>
        <v>3.5316273009661998</v>
      </c>
      <c r="F5" s="1">
        <f t="shared" si="1"/>
        <v>99.999719141594028</v>
      </c>
      <c r="G5" s="1">
        <f t="shared" si="2"/>
        <v>12.472391392929806</v>
      </c>
    </row>
    <row r="6" spans="1:9">
      <c r="A6" s="1" t="s">
        <v>4</v>
      </c>
      <c r="B6" s="1">
        <v>25</v>
      </c>
      <c r="C6" s="1">
        <v>0.99944680765166105</v>
      </c>
      <c r="D6" s="2">
        <v>1.9369E-5</v>
      </c>
      <c r="E6" s="1">
        <f t="shared" si="0"/>
        <v>0.99942743865166106</v>
      </c>
      <c r="F6" s="1">
        <f t="shared" si="1"/>
        <v>99.998062027928682</v>
      </c>
      <c r="G6" s="1">
        <f t="shared" si="2"/>
        <v>0.99885520512981973</v>
      </c>
    </row>
    <row r="7" spans="1:9">
      <c r="A7" s="1" t="s">
        <v>4</v>
      </c>
      <c r="B7" s="1">
        <v>28</v>
      </c>
      <c r="C7" s="1">
        <v>0.66542315487039005</v>
      </c>
      <c r="D7" s="2">
        <v>5.806E-6</v>
      </c>
      <c r="E7" s="1">
        <f t="shared" si="0"/>
        <v>0.66541734887039006</v>
      </c>
      <c r="F7" s="1">
        <f t="shared" si="1"/>
        <v>99.99912747250265</v>
      </c>
      <c r="G7" s="1">
        <f t="shared" si="2"/>
        <v>0.4427802481776984</v>
      </c>
    </row>
    <row r="8" spans="1:9">
      <c r="A8" s="1" t="s">
        <v>4</v>
      </c>
      <c r="B8" s="1">
        <v>30</v>
      </c>
      <c r="C8" s="1">
        <v>0.89633386952766403</v>
      </c>
      <c r="D8" s="2">
        <v>5.7404000000000001E-6</v>
      </c>
      <c r="E8" s="1">
        <f t="shared" si="0"/>
        <v>0.89632812912766402</v>
      </c>
      <c r="F8" s="1">
        <f t="shared" si="1"/>
        <v>99.999359568995985</v>
      </c>
      <c r="G8" s="1">
        <f t="shared" si="2"/>
        <v>0.80340411506549836</v>
      </c>
    </row>
    <row r="9" spans="1:9">
      <c r="A9" s="1" t="s">
        <v>4</v>
      </c>
      <c r="B9" s="1">
        <v>31</v>
      </c>
      <c r="C9" s="1">
        <v>0.85711981967030304</v>
      </c>
      <c r="D9" s="2">
        <v>5.0594000000000002E-6</v>
      </c>
      <c r="E9" s="1">
        <f t="shared" si="0"/>
        <v>0.85711476027030309</v>
      </c>
      <c r="F9" s="1">
        <f t="shared" si="1"/>
        <v>99.999409720801708</v>
      </c>
      <c r="G9" s="1">
        <f t="shared" si="2"/>
        <v>0.73464571227321918</v>
      </c>
    </row>
    <row r="10" spans="1:9">
      <c r="A10" s="1" t="s">
        <v>4</v>
      </c>
      <c r="B10" s="1">
        <v>40</v>
      </c>
      <c r="C10" s="1">
        <v>1.9047940237204499</v>
      </c>
      <c r="D10" s="2">
        <v>1.099E-6</v>
      </c>
      <c r="E10" s="1">
        <f t="shared" si="0"/>
        <v>1.90479292472045</v>
      </c>
      <c r="F10" s="1">
        <f t="shared" si="1"/>
        <v>99.999942303472906</v>
      </c>
      <c r="G10" s="1">
        <f t="shared" si="2"/>
        <v>3.628236086065086</v>
      </c>
    </row>
    <row r="11" spans="1:9">
      <c r="A11" s="1" t="s">
        <v>4</v>
      </c>
      <c r="B11" s="1">
        <v>41</v>
      </c>
      <c r="C11" s="1">
        <v>0.34592871353721599</v>
      </c>
      <c r="D11" s="2">
        <v>7.3831999999999999E-6</v>
      </c>
      <c r="E11" s="1">
        <f t="shared" si="0"/>
        <v>0.345921330337216</v>
      </c>
      <c r="F11" s="1">
        <f t="shared" si="1"/>
        <v>99.997865687434711</v>
      </c>
      <c r="G11" s="1">
        <f t="shared" si="2"/>
        <v>0.11966156678226932</v>
      </c>
    </row>
    <row r="12" spans="1:9">
      <c r="A12" s="1" t="s">
        <v>4</v>
      </c>
      <c r="B12" s="1">
        <v>42</v>
      </c>
      <c r="C12" s="1">
        <v>0.58961920584781302</v>
      </c>
      <c r="D12" s="2">
        <v>9.4481000000000002E-6</v>
      </c>
      <c r="E12" s="1">
        <f t="shared" si="0"/>
        <v>0.58960975774781299</v>
      </c>
      <c r="F12" s="1">
        <f t="shared" si="1"/>
        <v>99.998397592902961</v>
      </c>
      <c r="G12" s="1">
        <f t="shared" si="2"/>
        <v>0.34763966643143474</v>
      </c>
    </row>
    <row r="13" spans="1:9">
      <c r="A13" s="1" t="s">
        <v>4</v>
      </c>
      <c r="B13" s="1">
        <v>5</v>
      </c>
      <c r="C13" s="1">
        <v>1.83238775854715</v>
      </c>
      <c r="D13" s="2">
        <v>2.1171000000000001E-5</v>
      </c>
      <c r="E13" s="1">
        <f t="shared" si="0"/>
        <v>1.83236658754715</v>
      </c>
      <c r="F13" s="1">
        <f t="shared" si="1"/>
        <v>99.998844622274888</v>
      </c>
      <c r="G13" s="1">
        <f t="shared" si="2"/>
        <v>3.3575673111591873</v>
      </c>
    </row>
    <row r="14" spans="1:9">
      <c r="A14" s="1" t="s">
        <v>4</v>
      </c>
      <c r="B14" s="1">
        <v>51</v>
      </c>
      <c r="C14" s="1">
        <v>5.7168354993158603</v>
      </c>
      <c r="D14" s="1">
        <v>1.0164</v>
      </c>
      <c r="E14" s="1">
        <f t="shared" si="0"/>
        <v>4.7004354993158604</v>
      </c>
      <c r="F14" s="1">
        <f t="shared" si="1"/>
        <v>82.220933239698184</v>
      </c>
      <c r="G14" s="1">
        <f t="shared" si="2"/>
        <v>22.094093883228741</v>
      </c>
    </row>
    <row r="15" spans="1:9">
      <c r="A15" s="1" t="s">
        <v>4</v>
      </c>
      <c r="B15" s="1">
        <v>54</v>
      </c>
      <c r="C15" s="1">
        <v>0.85711981967030104</v>
      </c>
      <c r="D15" s="2">
        <v>6.3312999999999998E-6</v>
      </c>
      <c r="E15" s="1">
        <f t="shared" si="0"/>
        <v>0.85711348837030099</v>
      </c>
      <c r="F15" s="1">
        <f t="shared" si="1"/>
        <v>99.999261328480017</v>
      </c>
      <c r="G15" s="1">
        <f t="shared" si="2"/>
        <v>0.73464353194630605</v>
      </c>
    </row>
    <row r="16" spans="1:9">
      <c r="A16" s="1" t="s">
        <v>4</v>
      </c>
      <c r="B16" s="1">
        <v>60</v>
      </c>
      <c r="C16" s="1">
        <v>1.10549961576482</v>
      </c>
      <c r="D16" s="2">
        <v>1.0576E-5</v>
      </c>
      <c r="E16" s="1">
        <f t="shared" si="0"/>
        <v>1.10548903976482</v>
      </c>
      <c r="F16" s="1">
        <f t="shared" si="1"/>
        <v>99.999043328477981</v>
      </c>
      <c r="G16" s="1">
        <f t="shared" si="2"/>
        <v>1.2221060170401439</v>
      </c>
    </row>
    <row r="17" spans="1:9">
      <c r="A17" s="1" t="s">
        <v>4</v>
      </c>
      <c r="B17" s="1">
        <v>66</v>
      </c>
      <c r="C17" s="1">
        <v>0.57024138293983595</v>
      </c>
      <c r="D17" s="2">
        <v>3.9886999999999996E-6</v>
      </c>
      <c r="E17" s="1">
        <f t="shared" si="0"/>
        <v>0.57023739423983599</v>
      </c>
      <c r="F17" s="1">
        <f t="shared" si="1"/>
        <v>99.999300524283356</v>
      </c>
      <c r="G17" s="1">
        <f t="shared" si="2"/>
        <v>0.32517068578943814</v>
      </c>
    </row>
    <row r="18" spans="1:9">
      <c r="D18" s="2"/>
    </row>
    <row r="19" spans="1:9">
      <c r="A19" s="1" t="s">
        <v>5</v>
      </c>
      <c r="B19" s="1">
        <v>11</v>
      </c>
      <c r="C19" s="1">
        <v>3.2506873100414002</v>
      </c>
      <c r="D19" s="1">
        <v>3.2547000000000001</v>
      </c>
      <c r="E19" s="1">
        <f t="shared" si="0"/>
        <v>4.0126899585999354E-3</v>
      </c>
      <c r="F19" s="1">
        <f t="shared" si="1"/>
        <v>0.12344127797849712</v>
      </c>
      <c r="G19" s="1">
        <f t="shared" si="2"/>
        <v>1.610168070384875E-5</v>
      </c>
      <c r="H19" s="1">
        <f>AVERAGE(G19:G34)</f>
        <v>34.521736783881309</v>
      </c>
      <c r="I19" s="1">
        <f>SQRT(H19)</f>
        <v>5.875520128795519</v>
      </c>
    </row>
    <row r="20" spans="1:9">
      <c r="A20" s="1" t="s">
        <v>5</v>
      </c>
      <c r="B20" s="1">
        <v>15</v>
      </c>
      <c r="C20" s="1">
        <v>7.6916382730540898</v>
      </c>
      <c r="D20" s="1">
        <v>5.4832999999999998</v>
      </c>
      <c r="E20" s="1">
        <f t="shared" si="0"/>
        <v>2.2083382730540899</v>
      </c>
      <c r="F20" s="1">
        <f t="shared" si="1"/>
        <v>28.710896101166149</v>
      </c>
      <c r="G20" s="1">
        <f t="shared" si="2"/>
        <v>4.87675792823552</v>
      </c>
    </row>
    <row r="21" spans="1:9">
      <c r="A21" s="1" t="s">
        <v>5</v>
      </c>
      <c r="B21" s="1">
        <v>19</v>
      </c>
      <c r="C21" s="1">
        <v>0.72106587036837799</v>
      </c>
      <c r="D21" s="2">
        <v>9.4204000000000005E-6</v>
      </c>
      <c r="E21" s="1">
        <f t="shared" si="0"/>
        <v>0.72105644996837803</v>
      </c>
      <c r="F21" s="1">
        <f t="shared" si="1"/>
        <v>99.998693545154879</v>
      </c>
      <c r="G21" s="1">
        <f t="shared" si="2"/>
        <v>0.5199224040410001</v>
      </c>
    </row>
    <row r="22" spans="1:9">
      <c r="A22" s="1" t="s">
        <v>5</v>
      </c>
      <c r="B22" s="1">
        <v>20</v>
      </c>
      <c r="C22" s="1">
        <v>1.5671184463242001</v>
      </c>
      <c r="D22" s="2">
        <v>8.6003999999999999E-6</v>
      </c>
      <c r="E22" s="1">
        <f t="shared" si="0"/>
        <v>1.5671098459242001</v>
      </c>
      <c r="F22" s="1">
        <f t="shared" si="1"/>
        <v>99.999451196556322</v>
      </c>
      <c r="G22" s="1">
        <f t="shared" si="2"/>
        <v>2.4558332691925702</v>
      </c>
    </row>
    <row r="23" spans="1:9">
      <c r="A23" s="1" t="s">
        <v>5</v>
      </c>
      <c r="B23" s="1">
        <v>25</v>
      </c>
      <c r="C23" s="1">
        <v>4.6606064745494598</v>
      </c>
      <c r="D23" s="1">
        <v>5.3474000000000004</v>
      </c>
      <c r="E23" s="1">
        <f t="shared" si="0"/>
        <v>0.68679352545054062</v>
      </c>
      <c r="F23" s="1">
        <f t="shared" si="1"/>
        <v>14.736140654675911</v>
      </c>
      <c r="G23" s="1">
        <f t="shared" si="2"/>
        <v>0.47168534660078237</v>
      </c>
    </row>
    <row r="24" spans="1:9">
      <c r="A24" s="1" t="s">
        <v>5</v>
      </c>
      <c r="B24" s="1">
        <v>34</v>
      </c>
      <c r="C24" s="1">
        <v>15.333361071836899</v>
      </c>
      <c r="D24" s="1">
        <v>4.0563000000000002</v>
      </c>
      <c r="E24" s="1">
        <f t="shared" si="0"/>
        <v>11.277061071836899</v>
      </c>
      <c r="F24" s="1">
        <f t="shared" si="1"/>
        <v>73.545917421521551</v>
      </c>
      <c r="G24" s="1">
        <f t="shared" si="2"/>
        <v>127.17210641793919</v>
      </c>
    </row>
    <row r="25" spans="1:9">
      <c r="A25" s="1" t="s">
        <v>5</v>
      </c>
      <c r="B25" s="1">
        <v>37</v>
      </c>
      <c r="C25" s="1">
        <v>1.99909442666685</v>
      </c>
      <c r="D25" s="1">
        <v>0.47704999999999997</v>
      </c>
      <c r="E25" s="1">
        <f t="shared" si="0"/>
        <v>1.52204442666685</v>
      </c>
      <c r="F25" s="1">
        <f t="shared" si="1"/>
        <v>76.136695013681788</v>
      </c>
      <c r="G25" s="1">
        <f t="shared" si="2"/>
        <v>2.3166192367476204</v>
      </c>
    </row>
    <row r="26" spans="1:9">
      <c r="A26" s="1" t="s">
        <v>5</v>
      </c>
      <c r="B26" s="1">
        <v>40</v>
      </c>
      <c r="C26" s="1">
        <v>5.48329806229731</v>
      </c>
      <c r="D26" s="1">
        <v>5.0892999999999997</v>
      </c>
      <c r="E26" s="1">
        <f t="shared" si="0"/>
        <v>0.39399806229731027</v>
      </c>
      <c r="F26" s="1">
        <f t="shared" si="1"/>
        <v>7.1854212158629016</v>
      </c>
      <c r="G26" s="1">
        <f t="shared" si="2"/>
        <v>0.15523447309403518</v>
      </c>
    </row>
    <row r="27" spans="1:9">
      <c r="A27" s="1" t="s">
        <v>5</v>
      </c>
      <c r="B27" s="1">
        <v>43</v>
      </c>
      <c r="C27" s="1">
        <v>0.97804174849450298</v>
      </c>
      <c r="D27" s="2">
        <v>8.0446999999999994E-6</v>
      </c>
      <c r="E27" s="1">
        <f t="shared" si="0"/>
        <v>0.97803370379450294</v>
      </c>
      <c r="F27" s="1">
        <f t="shared" si="1"/>
        <v>99.999177468649734</v>
      </c>
      <c r="G27" s="1">
        <f t="shared" si="2"/>
        <v>0.95654992575799347</v>
      </c>
    </row>
    <row r="28" spans="1:9">
      <c r="A28" s="1" t="s">
        <v>5</v>
      </c>
      <c r="B28" s="1">
        <v>56</v>
      </c>
      <c r="C28" s="1">
        <v>4.4500990089698602</v>
      </c>
      <c r="D28" s="1">
        <v>0.22620000000000001</v>
      </c>
      <c r="E28" s="1">
        <f t="shared" si="0"/>
        <v>4.2238990089698598</v>
      </c>
      <c r="F28" s="1">
        <f t="shared" si="1"/>
        <v>94.916967026035621</v>
      </c>
      <c r="G28" s="1">
        <f t="shared" si="2"/>
        <v>17.841322837976563</v>
      </c>
    </row>
    <row r="29" spans="1:9">
      <c r="A29" s="1" t="s">
        <v>5</v>
      </c>
      <c r="B29" s="1">
        <v>57</v>
      </c>
      <c r="C29" s="1">
        <v>0.91974364365539896</v>
      </c>
      <c r="D29" s="2">
        <v>2.0545000000000001E-5</v>
      </c>
      <c r="E29" s="1">
        <f t="shared" si="0"/>
        <v>0.91972309865539892</v>
      </c>
      <c r="F29" s="1">
        <f t="shared" si="1"/>
        <v>99.997766225388801</v>
      </c>
      <c r="G29" s="1">
        <f t="shared" si="2"/>
        <v>0.84589057820028868</v>
      </c>
    </row>
    <row r="30" spans="1:9">
      <c r="A30" s="1" t="s">
        <v>5</v>
      </c>
      <c r="B30" s="1">
        <v>58</v>
      </c>
      <c r="C30" s="1">
        <v>1.38063510936497</v>
      </c>
      <c r="D30" s="2">
        <v>1.5412000000000001E-5</v>
      </c>
      <c r="E30" s="1">
        <f t="shared" si="0"/>
        <v>1.38061969736497</v>
      </c>
      <c r="F30" s="1">
        <f t="shared" si="1"/>
        <v>99.998883702153051</v>
      </c>
      <c r="G30" s="1">
        <f t="shared" si="2"/>
        <v>1.9061107487521414</v>
      </c>
    </row>
    <row r="31" spans="1:9">
      <c r="A31" s="1" t="s">
        <v>5</v>
      </c>
      <c r="B31" s="1">
        <v>72</v>
      </c>
      <c r="C31" s="1">
        <v>15.573754105074601</v>
      </c>
      <c r="D31" s="1">
        <v>34.851999999999997</v>
      </c>
      <c r="E31" s="1">
        <f t="shared" si="0"/>
        <v>19.278245894925398</v>
      </c>
      <c r="F31" s="1">
        <f t="shared" si="1"/>
        <v>123.78676178432606</v>
      </c>
      <c r="G31" s="1">
        <f t="shared" si="2"/>
        <v>371.65076478520797</v>
      </c>
    </row>
    <row r="32" spans="1:9">
      <c r="A32" s="1" t="s">
        <v>5</v>
      </c>
      <c r="B32" s="1">
        <v>80</v>
      </c>
      <c r="C32" s="1">
        <v>4.5978562624053199</v>
      </c>
      <c r="D32" s="1">
        <v>0.47548000000000001</v>
      </c>
      <c r="E32" s="1">
        <f t="shared" si="0"/>
        <v>4.1223762624053197</v>
      </c>
      <c r="F32" s="1">
        <f t="shared" si="1"/>
        <v>89.658658886581691</v>
      </c>
      <c r="G32" s="1">
        <f t="shared" si="2"/>
        <v>16.993986048842853</v>
      </c>
    </row>
    <row r="33" spans="1:7">
      <c r="A33" s="1" t="s">
        <v>5</v>
      </c>
      <c r="B33" s="1">
        <v>89</v>
      </c>
      <c r="C33" s="1">
        <v>3.3551486083545901</v>
      </c>
      <c r="D33" s="1">
        <v>1.6693</v>
      </c>
      <c r="E33" s="1">
        <f t="shared" si="0"/>
        <v>1.6858486083545901</v>
      </c>
      <c r="F33" s="1">
        <f t="shared" si="1"/>
        <v>50.246615132238595</v>
      </c>
      <c r="G33" s="1">
        <f t="shared" si="2"/>
        <v>2.8420855302911079</v>
      </c>
    </row>
    <row r="34" spans="1:7">
      <c r="A34" s="1" t="s">
        <v>5</v>
      </c>
      <c r="B34" s="1">
        <v>98</v>
      </c>
      <c r="C34" s="1">
        <v>1.16676847788257</v>
      </c>
      <c r="D34" s="1">
        <v>7.9316000000000005E-3</v>
      </c>
      <c r="E34" s="1">
        <f t="shared" si="0"/>
        <v>1.1588368778825699</v>
      </c>
      <c r="F34" s="1">
        <f t="shared" si="1"/>
        <v>99.320207894680692</v>
      </c>
      <c r="G34" s="1">
        <f t="shared" si="2"/>
        <v>1.3429029095406224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runTot.csv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Sidney Bush</dc:creator>
  <cp:lastModifiedBy>Sidney Bush</cp:lastModifiedBy>
  <dcterms:created xsi:type="dcterms:W3CDTF">2017-10-30T05:41:18Z</dcterms:created>
  <dcterms:modified xsi:type="dcterms:W3CDTF">2017-11-17T22:31:22Z</dcterms:modified>
</cp:coreProperties>
</file>