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028"/>
  <workbookPr date1904="1" showInkAnnotation="0" autoCompressPictures="0"/>
  <bookViews>
    <workbookView xWindow="6920" yWindow="0" windowWidth="19200" windowHeight="15980" tabRatio="500" activeTab="1"/>
  </bookViews>
  <sheets>
    <sheet name="runRateMaxTime.csv" sheetId="1" r:id="rId1"/>
    <sheet name="Sheet1" sheetId="2" r:id="rId2"/>
  </sheet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15" i="2" l="1"/>
  <c r="F16" i="2"/>
  <c r="F17" i="2"/>
  <c r="F18" i="2"/>
  <c r="F19" i="2"/>
  <c r="F20" i="2"/>
  <c r="F21" i="2"/>
  <c r="F3" i="2"/>
  <c r="F4" i="2"/>
  <c r="F5" i="2"/>
  <c r="F6" i="2"/>
  <c r="F7" i="2"/>
  <c r="F8" i="2"/>
  <c r="F2" i="2"/>
  <c r="E15" i="2"/>
  <c r="G15" i="2"/>
  <c r="E16" i="2"/>
  <c r="G16" i="2"/>
  <c r="E17" i="2"/>
  <c r="G17" i="2"/>
  <c r="E18" i="2"/>
  <c r="G18" i="2"/>
  <c r="E19" i="2"/>
  <c r="G19" i="2"/>
  <c r="E20" i="2"/>
  <c r="G20" i="2"/>
  <c r="E21" i="2"/>
  <c r="G21" i="2"/>
  <c r="H15" i="2"/>
  <c r="I15" i="2"/>
  <c r="E3" i="2"/>
  <c r="G3" i="2"/>
  <c r="E4" i="2"/>
  <c r="G4" i="2"/>
  <c r="E5" i="2"/>
  <c r="G5" i="2"/>
  <c r="E6" i="2"/>
  <c r="G6" i="2"/>
  <c r="E7" i="2"/>
  <c r="G7" i="2"/>
  <c r="E8" i="2"/>
  <c r="G8" i="2"/>
  <c r="H2" i="2"/>
  <c r="I2" i="2"/>
  <c r="G2" i="2"/>
  <c r="E2" i="2"/>
</calcChain>
</file>

<file path=xl/sharedStrings.xml><?xml version="1.0" encoding="utf-8"?>
<sst xmlns="http://schemas.openxmlformats.org/spreadsheetml/2006/main" count="64" uniqueCount="11">
  <si>
    <t>Site</t>
  </si>
  <si>
    <t>Num</t>
  </si>
  <si>
    <t>obsRunRateMaxTime</t>
  </si>
  <si>
    <t>hydRunRateMaxTime</t>
  </si>
  <si>
    <t>MAT</t>
  </si>
  <si>
    <t>PAS</t>
  </si>
  <si>
    <t>Error</t>
  </si>
  <si>
    <t>Err Squared</t>
  </si>
  <si>
    <t>mean err</t>
  </si>
  <si>
    <t>sqrt(mean(square(err)))</t>
  </si>
  <si>
    <t>Percent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</si>
</sst>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1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">
    <xf numFmtId="0" fontId="0" fillId="0" borderId="0" xfId="0"/>
  </cellXfs>
  <cellStyles count="1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workbookViewId="0">
      <selection activeCell="E50" sqref="E50"/>
    </sheetView>
  </sheetViews>
  <sheetFormatPr baseColWidth="10" defaultRowHeight="15" x14ac:dyDescent="0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10</v>
      </c>
      <c r="C2">
        <v>2.7</v>
      </c>
      <c r="D2">
        <v>53.740400000000001</v>
      </c>
    </row>
    <row r="3" spans="1:4">
      <c r="A3" t="s">
        <v>4</v>
      </c>
      <c r="B3">
        <v>12</v>
      </c>
      <c r="C3">
        <v>1.0333333333333301</v>
      </c>
      <c r="D3">
        <v>47.685600000000001</v>
      </c>
    </row>
    <row r="4" spans="1:4">
      <c r="A4" t="s">
        <v>4</v>
      </c>
      <c r="B4">
        <v>13</v>
      </c>
      <c r="C4">
        <v>7.5333333333333297</v>
      </c>
      <c r="D4">
        <v>17.8461</v>
      </c>
    </row>
    <row r="5" spans="1:4">
      <c r="A5" t="s">
        <v>4</v>
      </c>
      <c r="B5">
        <v>25</v>
      </c>
      <c r="C5">
        <v>4.3333333333333304</v>
      </c>
      <c r="D5">
        <v>89.999899999999997</v>
      </c>
    </row>
    <row r="6" spans="1:4">
      <c r="A6" t="s">
        <v>4</v>
      </c>
      <c r="B6">
        <v>26</v>
      </c>
      <c r="C6">
        <v>2.9</v>
      </c>
      <c r="D6">
        <v>38.666600000000003</v>
      </c>
    </row>
    <row r="7" spans="1:4">
      <c r="A7" t="s">
        <v>4</v>
      </c>
      <c r="B7">
        <v>28</v>
      </c>
      <c r="C7">
        <v>2.9</v>
      </c>
      <c r="D7">
        <v>57.916600000000003</v>
      </c>
    </row>
    <row r="8" spans="1:4">
      <c r="A8" t="s">
        <v>4</v>
      </c>
      <c r="B8">
        <v>30</v>
      </c>
      <c r="C8">
        <v>2.9</v>
      </c>
      <c r="D8">
        <v>19.9999</v>
      </c>
    </row>
    <row r="9" spans="1:4">
      <c r="A9" t="s">
        <v>4</v>
      </c>
      <c r="B9">
        <v>31</v>
      </c>
      <c r="C9">
        <v>2.9</v>
      </c>
      <c r="D9">
        <v>7.9405000000000001</v>
      </c>
    </row>
    <row r="10" spans="1:4">
      <c r="A10" t="s">
        <v>4</v>
      </c>
      <c r="B10">
        <v>40</v>
      </c>
      <c r="C10">
        <v>1.93333333333333</v>
      </c>
      <c r="D10">
        <v>29.9999</v>
      </c>
    </row>
    <row r="11" spans="1:4">
      <c r="A11" t="s">
        <v>4</v>
      </c>
      <c r="B11">
        <v>41</v>
      </c>
      <c r="C11">
        <v>23.4</v>
      </c>
      <c r="D11">
        <v>18.4558</v>
      </c>
    </row>
    <row r="12" spans="1:4">
      <c r="A12" t="s">
        <v>4</v>
      </c>
      <c r="B12">
        <v>42</v>
      </c>
      <c r="C12">
        <v>3.4</v>
      </c>
      <c r="D12">
        <v>89.999899999999997</v>
      </c>
    </row>
    <row r="13" spans="1:4">
      <c r="A13" t="s">
        <v>4</v>
      </c>
      <c r="B13">
        <v>47</v>
      </c>
      <c r="C13">
        <v>3.4</v>
      </c>
      <c r="D13">
        <v>19.9999</v>
      </c>
    </row>
    <row r="14" spans="1:4">
      <c r="A14" t="s">
        <v>4</v>
      </c>
      <c r="B14">
        <v>5</v>
      </c>
      <c r="C14">
        <v>100</v>
      </c>
      <c r="D14">
        <v>107.68980000000001</v>
      </c>
    </row>
    <row r="15" spans="1:4">
      <c r="A15" t="s">
        <v>4</v>
      </c>
      <c r="B15">
        <v>51</v>
      </c>
      <c r="C15">
        <v>126.333333333333</v>
      </c>
      <c r="D15">
        <v>109.3069</v>
      </c>
    </row>
    <row r="16" spans="1:4">
      <c r="A16" t="s">
        <v>4</v>
      </c>
      <c r="B16">
        <v>54</v>
      </c>
      <c r="C16">
        <v>119.533333333333</v>
      </c>
      <c r="D16">
        <v>128.2628</v>
      </c>
    </row>
    <row r="17" spans="1:4">
      <c r="A17" t="s">
        <v>4</v>
      </c>
      <c r="B17">
        <v>60</v>
      </c>
      <c r="C17">
        <v>8.2666666666666693</v>
      </c>
      <c r="D17">
        <v>59.999899999999997</v>
      </c>
    </row>
    <row r="18" spans="1:4">
      <c r="A18" t="s">
        <v>4</v>
      </c>
      <c r="B18">
        <v>66</v>
      </c>
      <c r="C18">
        <v>11.3333333333333</v>
      </c>
      <c r="D18">
        <v>19.9999</v>
      </c>
    </row>
    <row r="19" spans="1:4">
      <c r="A19" t="s">
        <v>4</v>
      </c>
      <c r="B19">
        <v>7</v>
      </c>
      <c r="C19">
        <v>10</v>
      </c>
      <c r="D19">
        <v>39.999899999999997</v>
      </c>
    </row>
    <row r="20" spans="1:4">
      <c r="A20" t="s">
        <v>5</v>
      </c>
      <c r="B20">
        <v>11</v>
      </c>
      <c r="C20">
        <v>347.13333333333298</v>
      </c>
      <c r="D20">
        <v>66.906400000000005</v>
      </c>
    </row>
    <row r="21" spans="1:4">
      <c r="A21" t="s">
        <v>5</v>
      </c>
      <c r="B21">
        <v>13</v>
      </c>
      <c r="C21">
        <v>20</v>
      </c>
      <c r="D21">
        <v>16.997499999999999</v>
      </c>
    </row>
    <row r="22" spans="1:4">
      <c r="A22" t="s">
        <v>5</v>
      </c>
      <c r="B22">
        <v>15</v>
      </c>
      <c r="C22">
        <v>75</v>
      </c>
      <c r="D22">
        <v>77.300200000000004</v>
      </c>
    </row>
    <row r="23" spans="1:4">
      <c r="A23" t="s">
        <v>5</v>
      </c>
      <c r="B23">
        <v>19</v>
      </c>
      <c r="C23">
        <v>35</v>
      </c>
      <c r="D23">
        <v>39.999899999999997</v>
      </c>
    </row>
    <row r="24" spans="1:4">
      <c r="A24" t="s">
        <v>5</v>
      </c>
      <c r="B24">
        <v>20</v>
      </c>
      <c r="C24">
        <v>35</v>
      </c>
      <c r="D24">
        <v>49.999899999999997</v>
      </c>
    </row>
    <row r="25" spans="1:4">
      <c r="A25" t="s">
        <v>5</v>
      </c>
      <c r="B25">
        <v>25</v>
      </c>
      <c r="C25">
        <v>6.6666666666666693E-2</v>
      </c>
      <c r="D25">
        <v>118.40009999999999</v>
      </c>
    </row>
    <row r="26" spans="1:4">
      <c r="A26" t="s">
        <v>5</v>
      </c>
      <c r="B26">
        <v>34</v>
      </c>
      <c r="C26">
        <v>24.2</v>
      </c>
      <c r="D26">
        <v>16.968599999999999</v>
      </c>
    </row>
    <row r="27" spans="1:4">
      <c r="A27" t="s">
        <v>5</v>
      </c>
      <c r="B27">
        <v>35</v>
      </c>
      <c r="C27">
        <v>60.533333333333303</v>
      </c>
      <c r="D27">
        <v>46.2864</v>
      </c>
    </row>
    <row r="28" spans="1:4">
      <c r="A28" t="s">
        <v>5</v>
      </c>
      <c r="B28">
        <v>37</v>
      </c>
      <c r="C28">
        <v>10.533333333333299</v>
      </c>
      <c r="D28">
        <v>57.117699999999999</v>
      </c>
    </row>
    <row r="29" spans="1:4">
      <c r="A29" t="s">
        <v>5</v>
      </c>
      <c r="B29">
        <v>40</v>
      </c>
      <c r="C29">
        <v>20.533333333333299</v>
      </c>
      <c r="D29">
        <v>16.7988</v>
      </c>
    </row>
    <row r="30" spans="1:4">
      <c r="A30" t="s">
        <v>5</v>
      </c>
      <c r="B30">
        <v>43</v>
      </c>
      <c r="C30">
        <v>0.53333333333333299</v>
      </c>
      <c r="D30">
        <v>49.999899999999997</v>
      </c>
    </row>
    <row r="31" spans="1:4">
      <c r="A31" t="s">
        <v>5</v>
      </c>
      <c r="B31">
        <v>56</v>
      </c>
      <c r="C31">
        <v>14.7</v>
      </c>
      <c r="D31">
        <v>7.1699000000000002</v>
      </c>
    </row>
    <row r="32" spans="1:4">
      <c r="A32" t="s">
        <v>5</v>
      </c>
      <c r="B32">
        <v>57</v>
      </c>
      <c r="C32">
        <v>44.7</v>
      </c>
      <c r="D32">
        <v>27.587299999999999</v>
      </c>
    </row>
    <row r="33" spans="1:4">
      <c r="A33" t="s">
        <v>5</v>
      </c>
      <c r="B33">
        <v>58</v>
      </c>
      <c r="C33">
        <v>4.7</v>
      </c>
      <c r="D33">
        <v>59.999899999999997</v>
      </c>
    </row>
    <row r="34" spans="1:4">
      <c r="A34" t="s">
        <v>5</v>
      </c>
      <c r="B34">
        <v>64</v>
      </c>
      <c r="C34">
        <v>20</v>
      </c>
      <c r="D34">
        <v>17.9983</v>
      </c>
    </row>
    <row r="35" spans="1:4">
      <c r="A35" t="s">
        <v>5</v>
      </c>
      <c r="B35">
        <v>72</v>
      </c>
      <c r="C35">
        <v>160.19999999999999</v>
      </c>
      <c r="D35">
        <v>157.49459999999999</v>
      </c>
    </row>
    <row r="36" spans="1:4">
      <c r="A36" t="s">
        <v>5</v>
      </c>
      <c r="B36">
        <v>80</v>
      </c>
      <c r="C36">
        <v>160.19999999999999</v>
      </c>
      <c r="D36">
        <v>160.08189999999999</v>
      </c>
    </row>
    <row r="37" spans="1:4">
      <c r="A37" t="s">
        <v>5</v>
      </c>
      <c r="B37">
        <v>89</v>
      </c>
      <c r="C37">
        <v>63.1666666666667</v>
      </c>
      <c r="D37">
        <v>56.839700000000001</v>
      </c>
    </row>
    <row r="38" spans="1:4">
      <c r="A38" t="s">
        <v>5</v>
      </c>
      <c r="B38">
        <v>98</v>
      </c>
      <c r="C38">
        <v>8.93333333333333</v>
      </c>
      <c r="D38">
        <v>7.4740000000000002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tabSelected="1" workbookViewId="0">
      <selection activeCell="I31" sqref="I31"/>
    </sheetView>
  </sheetViews>
  <sheetFormatPr baseColWidth="10" defaultRowHeight="15" x14ac:dyDescent="0"/>
  <cols>
    <col min="3" max="4" width="18.6640625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10</v>
      </c>
      <c r="G1" t="s">
        <v>7</v>
      </c>
      <c r="H1" t="s">
        <v>8</v>
      </c>
      <c r="I1" t="s">
        <v>9</v>
      </c>
    </row>
    <row r="2" spans="1:9">
      <c r="A2" t="s">
        <v>4</v>
      </c>
      <c r="B2">
        <v>10</v>
      </c>
      <c r="C2">
        <v>2.7</v>
      </c>
      <c r="D2">
        <v>53.740400000000001</v>
      </c>
      <c r="E2">
        <f>C2-D2</f>
        <v>-51.040399999999998</v>
      </c>
      <c r="F2">
        <f>(E2/C2)*100</f>
        <v>-1890.385185185185</v>
      </c>
      <c r="G2">
        <f>E2^2</f>
        <v>2605.1224321599998</v>
      </c>
      <c r="H2">
        <f>AVERAGE(G2:G8)</f>
        <v>1324.6417124623792</v>
      </c>
      <c r="I2">
        <f>SQRT(H2)</f>
        <v>36.395627655837714</v>
      </c>
    </row>
    <row r="3" spans="1:9">
      <c r="A3" t="s">
        <v>4</v>
      </c>
      <c r="B3">
        <v>13</v>
      </c>
      <c r="C3">
        <v>7.5333333333333297</v>
      </c>
      <c r="D3">
        <v>17.8461</v>
      </c>
      <c r="E3">
        <f t="shared" ref="E3:E21" si="0">C3-D3</f>
        <v>-10.31276666666667</v>
      </c>
      <c r="F3">
        <f t="shared" ref="F3:F21" si="1">(E3/C3)*100</f>
        <v>-136.89513274336292</v>
      </c>
      <c r="G3">
        <f>E3^2</f>
        <v>106.35315632111119</v>
      </c>
    </row>
    <row r="4" spans="1:9">
      <c r="A4" t="s">
        <v>4</v>
      </c>
      <c r="B4">
        <v>28</v>
      </c>
      <c r="C4">
        <v>2.9</v>
      </c>
      <c r="D4">
        <v>57.916600000000003</v>
      </c>
      <c r="E4">
        <f t="shared" si="0"/>
        <v>-55.016600000000004</v>
      </c>
      <c r="F4">
        <f t="shared" si="1"/>
        <v>-1897.1241379310345</v>
      </c>
      <c r="G4">
        <f>E4^2</f>
        <v>3026.8262755600003</v>
      </c>
    </row>
    <row r="5" spans="1:9">
      <c r="A5" t="s">
        <v>4</v>
      </c>
      <c r="B5">
        <v>30</v>
      </c>
      <c r="C5">
        <v>2.9</v>
      </c>
      <c r="D5">
        <v>19.9999</v>
      </c>
      <c r="E5">
        <f t="shared" si="0"/>
        <v>-17.099900000000002</v>
      </c>
      <c r="F5">
        <f t="shared" si="1"/>
        <v>-589.65172413793118</v>
      </c>
      <c r="G5">
        <f>E5^2</f>
        <v>292.40658001000008</v>
      </c>
    </row>
    <row r="6" spans="1:9">
      <c r="A6" t="s">
        <v>4</v>
      </c>
      <c r="B6">
        <v>47</v>
      </c>
      <c r="C6">
        <v>3.4</v>
      </c>
      <c r="D6">
        <v>19.9999</v>
      </c>
      <c r="E6">
        <f t="shared" si="0"/>
        <v>-16.599900000000002</v>
      </c>
      <c r="F6">
        <f t="shared" si="1"/>
        <v>-488.23235294117654</v>
      </c>
      <c r="G6">
        <f>E6^2</f>
        <v>275.55668001000004</v>
      </c>
    </row>
    <row r="7" spans="1:9">
      <c r="A7" t="s">
        <v>4</v>
      </c>
      <c r="B7">
        <v>51</v>
      </c>
      <c r="C7">
        <v>126.333333333333</v>
      </c>
      <c r="D7">
        <v>109.3069</v>
      </c>
      <c r="E7">
        <f t="shared" si="0"/>
        <v>17.026433333333003</v>
      </c>
      <c r="F7">
        <f t="shared" si="1"/>
        <v>13.477387862796608</v>
      </c>
      <c r="G7">
        <f>E7^2</f>
        <v>289.89943205443319</v>
      </c>
    </row>
    <row r="8" spans="1:9">
      <c r="A8" t="s">
        <v>4</v>
      </c>
      <c r="B8">
        <v>60</v>
      </c>
      <c r="C8">
        <v>8.2666666666666693</v>
      </c>
      <c r="D8">
        <v>59.999899999999997</v>
      </c>
      <c r="E8">
        <f t="shared" si="0"/>
        <v>-51.733233333333331</v>
      </c>
      <c r="F8">
        <f t="shared" si="1"/>
        <v>-625.80524193548365</v>
      </c>
      <c r="G8">
        <f>E8^2</f>
        <v>2676.3274311211107</v>
      </c>
    </row>
    <row r="15" spans="1:9">
      <c r="A15" t="s">
        <v>5</v>
      </c>
      <c r="B15">
        <v>15</v>
      </c>
      <c r="C15">
        <v>75</v>
      </c>
      <c r="D15">
        <v>77.300200000000004</v>
      </c>
      <c r="E15">
        <f t="shared" si="0"/>
        <v>-2.3002000000000038</v>
      </c>
      <c r="F15">
        <f t="shared" si="1"/>
        <v>-3.0669333333333384</v>
      </c>
      <c r="G15">
        <f>E15^2</f>
        <v>5.2909200400000174</v>
      </c>
      <c r="H15">
        <f>AVERAGE(G15:G21)</f>
        <v>2349.7614075174606</v>
      </c>
      <c r="I15">
        <f>SQRT(H15)</f>
        <v>48.474337618140389</v>
      </c>
    </row>
    <row r="16" spans="1:9">
      <c r="A16" t="s">
        <v>5</v>
      </c>
      <c r="B16">
        <v>19</v>
      </c>
      <c r="C16">
        <v>35</v>
      </c>
      <c r="D16">
        <v>39.999899999999997</v>
      </c>
      <c r="E16">
        <f t="shared" si="0"/>
        <v>-4.9998999999999967</v>
      </c>
      <c r="F16">
        <f t="shared" si="1"/>
        <v>-14.285428571428563</v>
      </c>
      <c r="G16">
        <f>E16^2</f>
        <v>24.999000009999968</v>
      </c>
    </row>
    <row r="17" spans="1:7">
      <c r="A17" t="s">
        <v>5</v>
      </c>
      <c r="B17">
        <v>25</v>
      </c>
      <c r="C17">
        <v>6.6666666666666693E-2</v>
      </c>
      <c r="D17">
        <v>118.40009999999999</v>
      </c>
      <c r="E17">
        <f t="shared" si="0"/>
        <v>-118.33343333333333</v>
      </c>
      <c r="F17">
        <f t="shared" si="1"/>
        <v>-177500.14999999991</v>
      </c>
      <c r="G17">
        <f>E17^2</f>
        <v>14002.801444454444</v>
      </c>
    </row>
    <row r="18" spans="1:7">
      <c r="A18" t="s">
        <v>5</v>
      </c>
      <c r="B18">
        <v>35</v>
      </c>
      <c r="C18">
        <v>60.533333333333303</v>
      </c>
      <c r="D18">
        <v>46.2864</v>
      </c>
      <c r="E18">
        <f t="shared" si="0"/>
        <v>14.246933333333303</v>
      </c>
      <c r="F18">
        <f t="shared" si="1"/>
        <v>23.535682819383222</v>
      </c>
      <c r="G18">
        <f>E18^2</f>
        <v>202.97510940444357</v>
      </c>
    </row>
    <row r="19" spans="1:7">
      <c r="A19" t="s">
        <v>5</v>
      </c>
      <c r="B19">
        <v>37</v>
      </c>
      <c r="C19">
        <v>10.533333333333299</v>
      </c>
      <c r="D19">
        <v>57.117699999999999</v>
      </c>
      <c r="E19">
        <f t="shared" si="0"/>
        <v>-46.584366666666696</v>
      </c>
      <c r="F19">
        <f t="shared" si="1"/>
        <v>-442.25664556962192</v>
      </c>
      <c r="G19">
        <f>E19^2</f>
        <v>2170.1032177344473</v>
      </c>
    </row>
    <row r="20" spans="1:7">
      <c r="A20" t="s">
        <v>5</v>
      </c>
      <c r="B20">
        <v>89</v>
      </c>
      <c r="C20">
        <v>63.1666666666667</v>
      </c>
      <c r="D20">
        <v>56.839700000000001</v>
      </c>
      <c r="E20">
        <f t="shared" si="0"/>
        <v>6.3269666666666993</v>
      </c>
      <c r="F20">
        <f t="shared" si="1"/>
        <v>10.016306068601629</v>
      </c>
      <c r="G20">
        <f>E20^2</f>
        <v>40.030507201111526</v>
      </c>
    </row>
    <row r="21" spans="1:7">
      <c r="A21" t="s">
        <v>5</v>
      </c>
      <c r="B21">
        <v>98</v>
      </c>
      <c r="C21">
        <v>8.93333333333333</v>
      </c>
      <c r="D21">
        <v>7.4740000000000002</v>
      </c>
      <c r="E21">
        <f t="shared" si="0"/>
        <v>1.4593333333333298</v>
      </c>
      <c r="F21">
        <f t="shared" si="1"/>
        <v>16.335820895522353</v>
      </c>
      <c r="G21">
        <f>E21^2</f>
        <v>2.1296537777777673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runRateMaxTime.csv</vt:lpstr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Sidney Bush</dc:creator>
  <cp:lastModifiedBy>Sidney Bush</cp:lastModifiedBy>
  <dcterms:created xsi:type="dcterms:W3CDTF">2017-10-24T04:22:19Z</dcterms:created>
  <dcterms:modified xsi:type="dcterms:W3CDTF">2017-10-25T02:05:34Z</dcterms:modified>
</cp:coreProperties>
</file>