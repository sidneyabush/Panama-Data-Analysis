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0" yWindow="0" windowWidth="25600" windowHeight="16040" tabRatio="500"/>
  </bookViews>
  <sheets>
    <sheet name="runRateMaxTime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9" i="1" l="1"/>
  <c r="H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19" i="1"/>
  <c r="G19" i="1"/>
  <c r="F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G2" i="1"/>
  <c r="H2" i="1"/>
  <c r="I2" i="1"/>
  <c r="F2" i="1"/>
</calcChain>
</file>

<file path=xl/sharedStrings.xml><?xml version="1.0" encoding="utf-8"?>
<sst xmlns="http://schemas.openxmlformats.org/spreadsheetml/2006/main" count="41" uniqueCount="11">
  <si>
    <t>Site</t>
  </si>
  <si>
    <t>Num</t>
  </si>
  <si>
    <t>obsRunRateMaxTime</t>
  </si>
  <si>
    <t>hydRunRateMaxTime</t>
  </si>
  <si>
    <t>MAT</t>
  </si>
  <si>
    <t>PAS</t>
  </si>
  <si>
    <t>Error</t>
  </si>
  <si>
    <t>percent error</t>
  </si>
  <si>
    <t>error squared</t>
  </si>
  <si>
    <t>mean error MAT</t>
  </si>
  <si>
    <t>sqrt(mean(square(err)))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</si>
</sst>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1" xfId="0" applyFill="1" applyBorder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I2" sqref="I2"/>
    </sheetView>
  </sheetViews>
  <sheetFormatPr baseColWidth="10" defaultRowHeight="15" x14ac:dyDescent="0"/>
  <cols>
    <col min="1" max="2" width="10.83203125" style="1"/>
    <col min="3" max="3" width="19.83203125" style="1" customWidth="1"/>
    <col min="4" max="4" width="18.83203125" style="1" customWidth="1"/>
    <col min="5" max="7" width="10.83203125" style="1"/>
    <col min="8" max="8" width="22.33203125" style="1" customWidth="1"/>
    <col min="9" max="9" width="21.83203125" style="1" customWidth="1"/>
    <col min="10" max="16384" width="10.832031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s="1" t="s">
        <v>4</v>
      </c>
      <c r="B2" s="1">
        <v>10</v>
      </c>
      <c r="C2" s="1">
        <v>2.7</v>
      </c>
      <c r="D2" s="1">
        <v>53.740400000000001</v>
      </c>
      <c r="E2" s="1">
        <f t="shared" ref="E2:E17" si="0">ABS(C2-D2)</f>
        <v>51.040399999999998</v>
      </c>
      <c r="F2" s="1">
        <f>(E2/C2)*100</f>
        <v>1890.385185185185</v>
      </c>
      <c r="G2" s="1">
        <f>E2^2</f>
        <v>2605.1224321599998</v>
      </c>
      <c r="H2" s="1">
        <f>AVERAGE(G2:G17)</f>
        <v>2242.5587405385454</v>
      </c>
      <c r="I2" s="1">
        <f>SQRT(H2)</f>
        <v>47.355662180340644</v>
      </c>
    </row>
    <row r="3" spans="1:9">
      <c r="A3" s="1" t="s">
        <v>4</v>
      </c>
      <c r="B3" s="1">
        <v>12</v>
      </c>
      <c r="C3" s="1">
        <v>1.0333333333333301</v>
      </c>
      <c r="D3" s="1">
        <v>47.589199999999998</v>
      </c>
      <c r="E3" s="1">
        <f t="shared" si="0"/>
        <v>46.555866666666667</v>
      </c>
      <c r="F3" s="1">
        <f t="shared" ref="F3:F17" si="1">(E3/C3)*100</f>
        <v>4505.4064516129174</v>
      </c>
      <c r="G3" s="1">
        <f t="shared" ref="G3:G17" si="2">E3^2</f>
        <v>2167.4487210844445</v>
      </c>
    </row>
    <row r="4" spans="1:9">
      <c r="A4" s="1" t="s">
        <v>4</v>
      </c>
      <c r="B4" s="1">
        <v>13</v>
      </c>
      <c r="C4" s="1">
        <v>7.5333333333333297</v>
      </c>
      <c r="D4" s="1">
        <v>17.8461</v>
      </c>
      <c r="E4" s="1">
        <f t="shared" si="0"/>
        <v>10.31276666666667</v>
      </c>
      <c r="F4" s="1">
        <f t="shared" si="1"/>
        <v>136.89513274336292</v>
      </c>
      <c r="G4" s="1">
        <f t="shared" si="2"/>
        <v>106.35315632111119</v>
      </c>
    </row>
    <row r="5" spans="1:9">
      <c r="A5" s="1" t="s">
        <v>4</v>
      </c>
      <c r="B5" s="1">
        <v>17</v>
      </c>
      <c r="C5" s="1">
        <v>105.066666666667</v>
      </c>
      <c r="D5" s="1">
        <v>17.777699999999999</v>
      </c>
      <c r="E5" s="1">
        <f t="shared" si="0"/>
        <v>87.288966666667008</v>
      </c>
      <c r="F5" s="1">
        <f t="shared" si="1"/>
        <v>83.079600253807158</v>
      </c>
      <c r="G5" s="1">
        <f t="shared" si="2"/>
        <v>7619.3637017345045</v>
      </c>
    </row>
    <row r="6" spans="1:9">
      <c r="A6" s="1" t="s">
        <v>4</v>
      </c>
      <c r="B6" s="1">
        <v>25</v>
      </c>
      <c r="C6" s="1">
        <v>4.3333333333333304</v>
      </c>
      <c r="D6" s="1">
        <v>90.1066</v>
      </c>
      <c r="E6" s="1">
        <f t="shared" si="0"/>
        <v>85.773266666666672</v>
      </c>
      <c r="F6" s="1">
        <f t="shared" si="1"/>
        <v>1979.3830769230783</v>
      </c>
      <c r="G6" s="1">
        <f t="shared" si="2"/>
        <v>7357.0532746711124</v>
      </c>
    </row>
    <row r="7" spans="1:9">
      <c r="A7" s="1" t="s">
        <v>4</v>
      </c>
      <c r="B7" s="1">
        <v>28</v>
      </c>
      <c r="C7" s="1">
        <v>2.9</v>
      </c>
      <c r="D7" s="1">
        <v>57.916600000000003</v>
      </c>
      <c r="E7" s="1">
        <f t="shared" si="0"/>
        <v>55.016600000000004</v>
      </c>
      <c r="F7" s="1">
        <f t="shared" si="1"/>
        <v>1897.1241379310345</v>
      </c>
      <c r="G7" s="1">
        <f t="shared" si="2"/>
        <v>3026.8262755600003</v>
      </c>
    </row>
    <row r="8" spans="1:9">
      <c r="A8" s="1" t="s">
        <v>4</v>
      </c>
      <c r="B8" s="1">
        <v>30</v>
      </c>
      <c r="C8" s="1">
        <v>2.9</v>
      </c>
      <c r="D8" s="1">
        <v>19.9999</v>
      </c>
      <c r="E8" s="1">
        <f t="shared" si="0"/>
        <v>17.099900000000002</v>
      </c>
      <c r="F8" s="1">
        <f t="shared" si="1"/>
        <v>589.65172413793118</v>
      </c>
      <c r="G8" s="1">
        <f t="shared" si="2"/>
        <v>292.40658001000008</v>
      </c>
    </row>
    <row r="9" spans="1:9">
      <c r="A9" s="1" t="s">
        <v>4</v>
      </c>
      <c r="B9" s="1">
        <v>31</v>
      </c>
      <c r="C9" s="1">
        <v>2.9</v>
      </c>
      <c r="D9" s="1">
        <v>7.5481999999999996</v>
      </c>
      <c r="E9" s="1">
        <f t="shared" si="0"/>
        <v>4.6481999999999992</v>
      </c>
      <c r="F9" s="1">
        <f t="shared" si="1"/>
        <v>160.28275862068963</v>
      </c>
      <c r="G9" s="1">
        <f t="shared" si="2"/>
        <v>21.605763239999991</v>
      </c>
    </row>
    <row r="10" spans="1:9">
      <c r="A10" s="1" t="s">
        <v>4</v>
      </c>
      <c r="B10" s="1">
        <v>40</v>
      </c>
      <c r="C10" s="1">
        <v>1.93333333333333</v>
      </c>
      <c r="D10" s="1">
        <v>0</v>
      </c>
      <c r="E10" s="1">
        <f t="shared" si="0"/>
        <v>1.93333333333333</v>
      </c>
      <c r="F10" s="1">
        <f t="shared" si="1"/>
        <v>100</v>
      </c>
      <c r="G10" s="1">
        <f t="shared" si="2"/>
        <v>3.7377777777777648</v>
      </c>
    </row>
    <row r="11" spans="1:9">
      <c r="A11" s="1" t="s">
        <v>4</v>
      </c>
      <c r="B11" s="1">
        <v>41</v>
      </c>
      <c r="C11" s="1">
        <v>23.4</v>
      </c>
      <c r="D11" s="1">
        <v>18.4558</v>
      </c>
      <c r="E11" s="1">
        <f t="shared" si="0"/>
        <v>4.9441999999999986</v>
      </c>
      <c r="F11" s="1">
        <f t="shared" si="1"/>
        <v>21.129059829059823</v>
      </c>
      <c r="G11" s="1">
        <f t="shared" si="2"/>
        <v>24.445113639999985</v>
      </c>
    </row>
    <row r="12" spans="1:9">
      <c r="A12" s="1" t="s">
        <v>4</v>
      </c>
      <c r="B12" s="1">
        <v>42</v>
      </c>
      <c r="C12" s="1">
        <v>3.4</v>
      </c>
      <c r="D12" s="1">
        <v>49.999899999999997</v>
      </c>
      <c r="E12" s="1">
        <f t="shared" si="0"/>
        <v>46.599899999999998</v>
      </c>
      <c r="F12" s="1">
        <f t="shared" si="1"/>
        <v>1370.585294117647</v>
      </c>
      <c r="G12" s="1">
        <f t="shared" si="2"/>
        <v>2171.5506800099997</v>
      </c>
    </row>
    <row r="13" spans="1:9">
      <c r="A13" s="1" t="s">
        <v>4</v>
      </c>
      <c r="B13" s="1">
        <v>5</v>
      </c>
      <c r="C13" s="1">
        <v>20.2</v>
      </c>
      <c r="D13" s="1">
        <v>107.6169</v>
      </c>
      <c r="E13" s="1">
        <f t="shared" si="0"/>
        <v>87.416899999999998</v>
      </c>
      <c r="F13" s="1">
        <f t="shared" si="1"/>
        <v>432.75693069306931</v>
      </c>
      <c r="G13" s="1">
        <f t="shared" si="2"/>
        <v>7641.7144056099996</v>
      </c>
    </row>
    <row r="14" spans="1:9">
      <c r="A14" s="1" t="s">
        <v>4</v>
      </c>
      <c r="B14" s="1">
        <v>51</v>
      </c>
      <c r="C14" s="1">
        <v>126.333333333333</v>
      </c>
      <c r="D14" s="1">
        <v>122.3746</v>
      </c>
      <c r="E14" s="1">
        <f t="shared" si="0"/>
        <v>3.9587333333330008</v>
      </c>
      <c r="F14" s="1">
        <f t="shared" si="1"/>
        <v>3.1335620052767896</v>
      </c>
      <c r="G14" s="1">
        <f t="shared" si="2"/>
        <v>15.671569604441812</v>
      </c>
    </row>
    <row r="15" spans="1:9">
      <c r="A15" s="1" t="s">
        <v>4</v>
      </c>
      <c r="B15" s="1">
        <v>54</v>
      </c>
      <c r="C15" s="1">
        <v>119.533333333333</v>
      </c>
      <c r="D15" s="1">
        <v>128.2628</v>
      </c>
      <c r="E15" s="1">
        <f t="shared" si="0"/>
        <v>8.729466666666994</v>
      </c>
      <c r="F15" s="1">
        <f t="shared" si="1"/>
        <v>7.3029559397660497</v>
      </c>
      <c r="G15" s="1">
        <f t="shared" si="2"/>
        <v>76.203588284450163</v>
      </c>
    </row>
    <row r="16" spans="1:9">
      <c r="A16" s="1" t="s">
        <v>4</v>
      </c>
      <c r="B16" s="1">
        <v>60</v>
      </c>
      <c r="C16" s="1">
        <v>8.2666666666666693</v>
      </c>
      <c r="D16" s="1">
        <v>59.999899999999997</v>
      </c>
      <c r="E16" s="1">
        <f t="shared" si="0"/>
        <v>51.733233333333331</v>
      </c>
      <c r="F16" s="1">
        <f t="shared" si="1"/>
        <v>625.80524193548365</v>
      </c>
      <c r="G16" s="1">
        <f t="shared" si="2"/>
        <v>2676.3274311211107</v>
      </c>
    </row>
    <row r="17" spans="1:9">
      <c r="A17" s="1" t="s">
        <v>4</v>
      </c>
      <c r="B17" s="1">
        <v>66</v>
      </c>
      <c r="C17" s="1">
        <v>11.3333333333333</v>
      </c>
      <c r="D17" s="1">
        <v>19.9999</v>
      </c>
      <c r="E17" s="1">
        <f t="shared" si="0"/>
        <v>8.6665666666667001</v>
      </c>
      <c r="F17" s="1">
        <f t="shared" si="1"/>
        <v>76.469705882353452</v>
      </c>
      <c r="G17" s="1">
        <f t="shared" si="2"/>
        <v>75.109377787778357</v>
      </c>
    </row>
    <row r="19" spans="1:9" s="2" customFormat="1">
      <c r="A19" s="2" t="s">
        <v>5</v>
      </c>
      <c r="B19" s="2">
        <v>11</v>
      </c>
      <c r="C19" s="2">
        <v>347.13333333333298</v>
      </c>
      <c r="D19" s="2">
        <v>67.076400000000007</v>
      </c>
      <c r="E19" s="2">
        <f t="shared" ref="E19" si="3">ABS(C19-D19)</f>
        <v>280.05693333333295</v>
      </c>
      <c r="F19" s="2">
        <f>(E19/C19)*100</f>
        <v>80.677050124831922</v>
      </c>
      <c r="G19" s="2">
        <f>E19^2</f>
        <v>78431.885908070893</v>
      </c>
      <c r="H19" s="2">
        <f>AVERAGE(G19:G34)</f>
        <v>8529.3411399881788</v>
      </c>
      <c r="I19" s="2">
        <f>SQRT(H19)</f>
        <v>92.354432162123004</v>
      </c>
    </row>
    <row r="20" spans="1:9">
      <c r="A20" s="1" t="s">
        <v>5</v>
      </c>
      <c r="B20" s="1">
        <v>15</v>
      </c>
      <c r="C20" s="1">
        <v>75</v>
      </c>
      <c r="D20" s="1">
        <v>77.300200000000004</v>
      </c>
      <c r="E20" s="2">
        <f t="shared" ref="E20:E34" si="4">ABS(C20-D20)</f>
        <v>2.3002000000000038</v>
      </c>
      <c r="F20" s="2">
        <f t="shared" ref="F20:F34" si="5">(E20/C20)*100</f>
        <v>3.0669333333333384</v>
      </c>
      <c r="G20" s="2">
        <f t="shared" ref="G20:G34" si="6">E20^2</f>
        <v>5.2909200400000174</v>
      </c>
    </row>
    <row r="21" spans="1:9">
      <c r="A21" s="1" t="s">
        <v>5</v>
      </c>
      <c r="B21" s="1">
        <v>19</v>
      </c>
      <c r="C21" s="1">
        <v>35</v>
      </c>
      <c r="D21" s="1">
        <v>39.999899999999997</v>
      </c>
      <c r="E21" s="2">
        <f t="shared" si="4"/>
        <v>4.9998999999999967</v>
      </c>
      <c r="F21" s="2">
        <f t="shared" si="5"/>
        <v>14.285428571428563</v>
      </c>
      <c r="G21" s="2">
        <f t="shared" si="6"/>
        <v>24.999000009999968</v>
      </c>
    </row>
    <row r="22" spans="1:9">
      <c r="A22" s="1" t="s">
        <v>5</v>
      </c>
      <c r="B22" s="1">
        <v>20</v>
      </c>
      <c r="C22" s="1">
        <v>35</v>
      </c>
      <c r="D22" s="1">
        <v>27.532599999999999</v>
      </c>
      <c r="E22" s="2">
        <f t="shared" si="4"/>
        <v>7.4674000000000014</v>
      </c>
      <c r="F22" s="2">
        <f t="shared" si="5"/>
        <v>21.335428571428576</v>
      </c>
      <c r="G22" s="2">
        <f t="shared" si="6"/>
        <v>55.76206276000002</v>
      </c>
    </row>
    <row r="23" spans="1:9">
      <c r="A23" s="1" t="s">
        <v>5</v>
      </c>
      <c r="B23" s="1">
        <v>25</v>
      </c>
      <c r="C23" s="1">
        <v>6.6666666666666693E-2</v>
      </c>
      <c r="D23" s="1">
        <v>119.9999</v>
      </c>
      <c r="E23" s="2">
        <f t="shared" si="4"/>
        <v>119.93323333333333</v>
      </c>
      <c r="F23" s="2">
        <f t="shared" si="5"/>
        <v>179899.84999999992</v>
      </c>
      <c r="G23" s="2">
        <f t="shared" si="6"/>
        <v>14383.980457787779</v>
      </c>
    </row>
    <row r="24" spans="1:9">
      <c r="A24" s="1" t="s">
        <v>5</v>
      </c>
      <c r="B24" s="1">
        <v>34</v>
      </c>
      <c r="C24" s="1">
        <v>24.2</v>
      </c>
      <c r="D24" s="1">
        <v>32.0426</v>
      </c>
      <c r="E24" s="2">
        <f t="shared" si="4"/>
        <v>7.8426000000000009</v>
      </c>
      <c r="F24" s="2">
        <f t="shared" si="5"/>
        <v>32.407438016528928</v>
      </c>
      <c r="G24" s="2">
        <f t="shared" si="6"/>
        <v>61.506374760000014</v>
      </c>
    </row>
    <row r="25" spans="1:9">
      <c r="A25" s="1" t="s">
        <v>5</v>
      </c>
      <c r="B25" s="1">
        <v>37</v>
      </c>
      <c r="C25" s="1">
        <v>10.533333333333299</v>
      </c>
      <c r="D25" s="1">
        <v>57.117699999999999</v>
      </c>
      <c r="E25" s="2">
        <f t="shared" si="4"/>
        <v>46.584366666666696</v>
      </c>
      <c r="F25" s="2">
        <f t="shared" si="5"/>
        <v>442.25664556962192</v>
      </c>
      <c r="G25" s="2">
        <f t="shared" si="6"/>
        <v>2170.1032177344473</v>
      </c>
    </row>
    <row r="26" spans="1:9">
      <c r="A26" s="1" t="s">
        <v>5</v>
      </c>
      <c r="B26" s="1">
        <v>40</v>
      </c>
      <c r="C26" s="1">
        <v>20.533333333333299</v>
      </c>
      <c r="D26" s="1">
        <v>16.9817</v>
      </c>
      <c r="E26" s="2">
        <f t="shared" si="4"/>
        <v>3.5516333333332994</v>
      </c>
      <c r="F26" s="2">
        <f t="shared" si="5"/>
        <v>17.296915584415448</v>
      </c>
      <c r="G26" s="2">
        <f t="shared" si="6"/>
        <v>12.614099334444203</v>
      </c>
    </row>
    <row r="27" spans="1:9">
      <c r="A27" s="1" t="s">
        <v>5</v>
      </c>
      <c r="B27" s="1">
        <v>43</v>
      </c>
      <c r="C27" s="1">
        <v>0.53333333333333299</v>
      </c>
      <c r="D27" s="1">
        <v>8.1983999999999995</v>
      </c>
      <c r="E27" s="2">
        <f t="shared" si="4"/>
        <v>7.6650666666666663</v>
      </c>
      <c r="F27" s="2">
        <f t="shared" si="5"/>
        <v>1437.200000000001</v>
      </c>
      <c r="G27" s="2">
        <f t="shared" si="6"/>
        <v>58.753247004444439</v>
      </c>
    </row>
    <row r="28" spans="1:9">
      <c r="A28" s="1" t="s">
        <v>5</v>
      </c>
      <c r="B28" s="1">
        <v>56</v>
      </c>
      <c r="C28" s="1">
        <v>14.7</v>
      </c>
      <c r="D28" s="1">
        <v>11.8673</v>
      </c>
      <c r="E28" s="2">
        <f t="shared" si="4"/>
        <v>2.8326999999999991</v>
      </c>
      <c r="F28" s="2">
        <f t="shared" si="5"/>
        <v>19.270068027210879</v>
      </c>
      <c r="G28" s="2">
        <f t="shared" si="6"/>
        <v>8.0241892899999954</v>
      </c>
    </row>
    <row r="29" spans="1:9">
      <c r="A29" s="1" t="s">
        <v>5</v>
      </c>
      <c r="B29" s="1">
        <v>57</v>
      </c>
      <c r="C29" s="1">
        <v>44.7</v>
      </c>
      <c r="D29" s="1">
        <v>239.9999</v>
      </c>
      <c r="E29" s="2">
        <f t="shared" si="4"/>
        <v>195.29989999999998</v>
      </c>
      <c r="F29" s="2">
        <f t="shared" si="5"/>
        <v>436.91252796420576</v>
      </c>
      <c r="G29" s="2">
        <f t="shared" si="6"/>
        <v>38142.050940009991</v>
      </c>
    </row>
    <row r="30" spans="1:9">
      <c r="A30" s="1" t="s">
        <v>5</v>
      </c>
      <c r="B30" s="1">
        <v>58</v>
      </c>
      <c r="C30" s="1">
        <v>4.7</v>
      </c>
      <c r="D30" s="1">
        <v>59.999899999999997</v>
      </c>
      <c r="E30" s="2">
        <f t="shared" si="4"/>
        <v>55.299899999999994</v>
      </c>
      <c r="F30" s="2">
        <f t="shared" si="5"/>
        <v>1176.5936170212765</v>
      </c>
      <c r="G30" s="2">
        <f t="shared" si="6"/>
        <v>3058.0789400099993</v>
      </c>
    </row>
    <row r="31" spans="1:9">
      <c r="A31" s="1" t="s">
        <v>5</v>
      </c>
      <c r="B31" s="1">
        <v>72</v>
      </c>
      <c r="C31" s="1">
        <v>160.19999999999999</v>
      </c>
      <c r="D31" s="1">
        <v>156.4271</v>
      </c>
      <c r="E31" s="2">
        <f t="shared" si="4"/>
        <v>3.7728999999999928</v>
      </c>
      <c r="F31" s="2">
        <f t="shared" si="5"/>
        <v>2.3551186017478107</v>
      </c>
      <c r="G31" s="2">
        <f t="shared" si="6"/>
        <v>14.234774409999945</v>
      </c>
    </row>
    <row r="32" spans="1:9">
      <c r="A32" s="1" t="s">
        <v>5</v>
      </c>
      <c r="B32" s="1">
        <v>80</v>
      </c>
      <c r="C32" s="1">
        <v>160.19999999999999</v>
      </c>
      <c r="D32" s="1">
        <v>160.08189999999999</v>
      </c>
      <c r="E32" s="2">
        <f t="shared" si="4"/>
        <v>0.11809999999999832</v>
      </c>
      <c r="F32" s="2">
        <f t="shared" si="5"/>
        <v>7.3720349563045143E-2</v>
      </c>
      <c r="G32" s="2">
        <f t="shared" si="6"/>
        <v>1.3947609999999602E-2</v>
      </c>
    </row>
    <row r="33" spans="1:7">
      <c r="A33" s="1" t="s">
        <v>5</v>
      </c>
      <c r="B33" s="1">
        <v>89</v>
      </c>
      <c r="C33" s="1">
        <v>63.1666666666667</v>
      </c>
      <c r="D33" s="1">
        <v>56.839700000000001</v>
      </c>
      <c r="E33" s="2">
        <f t="shared" si="4"/>
        <v>6.3269666666666993</v>
      </c>
      <c r="F33" s="2">
        <f t="shared" si="5"/>
        <v>10.016306068601629</v>
      </c>
      <c r="G33" s="2">
        <f t="shared" si="6"/>
        <v>40.030507201111526</v>
      </c>
    </row>
    <row r="34" spans="1:7">
      <c r="A34" s="1" t="s">
        <v>5</v>
      </c>
      <c r="B34" s="1">
        <v>98</v>
      </c>
      <c r="C34" s="1">
        <v>8.93333333333333</v>
      </c>
      <c r="D34" s="1">
        <v>7.4740000000000002</v>
      </c>
      <c r="E34" s="2">
        <f t="shared" si="4"/>
        <v>1.4593333333333298</v>
      </c>
      <c r="F34" s="2">
        <f t="shared" si="5"/>
        <v>16.335820895522353</v>
      </c>
      <c r="G34" s="2">
        <f t="shared" si="6"/>
        <v>2.1296537777777673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runRateMaxTime.csv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Bush</dc:creator>
  <cp:lastModifiedBy>Sidney Bush</cp:lastModifiedBy>
  <dcterms:created xsi:type="dcterms:W3CDTF">2017-10-30T05:32:46Z</dcterms:created>
  <dcterms:modified xsi:type="dcterms:W3CDTF">2017-11-17T22:34:08Z</dcterms:modified>
</cp:coreProperties>
</file>